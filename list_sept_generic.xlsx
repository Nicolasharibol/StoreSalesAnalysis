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admin/Downloads/Monatsreport /"/>
    </mc:Choice>
  </mc:AlternateContent>
  <xr:revisionPtr revIDLastSave="0" documentId="13_ncr:1_{F2F8B82F-3FEC-AE48-BA4A-7A3703C5F1A4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989" i="2" l="1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<sst xmlns="http://schemas.openxmlformats.org/spreadsheetml/2006/main" count="9795" uniqueCount="2027">
  <si>
    <t>DE - Berlin</t>
  </si>
  <si>
    <t>erstellt</t>
  </si>
  <si>
    <t>NOR</t>
  </si>
  <si>
    <t>eingegeben</t>
  </si>
  <si>
    <t>INANIR</t>
  </si>
  <si>
    <t>ONEILL</t>
  </si>
  <si>
    <t>THIELE</t>
  </si>
  <si>
    <t>LIZAMA</t>
  </si>
  <si>
    <t>ULFIG</t>
  </si>
  <si>
    <t>STAMELOS</t>
  </si>
  <si>
    <t>KEY</t>
  </si>
  <si>
    <t>MUNOZ</t>
  </si>
  <si>
    <t>MASSA</t>
  </si>
  <si>
    <t>YURTSEVEN</t>
  </si>
  <si>
    <t>CANAS VALENCIA</t>
  </si>
  <si>
    <t>SIRCAR</t>
  </si>
  <si>
    <t>GABUS</t>
  </si>
  <si>
    <t>ANTONIO</t>
  </si>
  <si>
    <t>GAUL</t>
  </si>
  <si>
    <t>HERRMANN</t>
  </si>
  <si>
    <t>KEVEKORDIS</t>
  </si>
  <si>
    <t>PETRI</t>
  </si>
  <si>
    <t>BELENKOV</t>
  </si>
  <si>
    <t>YOLTAY</t>
  </si>
  <si>
    <t>GIOSEFFI</t>
  </si>
  <si>
    <t>BLAU</t>
  </si>
  <si>
    <t>LEONHARDT</t>
  </si>
  <si>
    <t>BEIER</t>
  </si>
  <si>
    <t>LOPEJA</t>
  </si>
  <si>
    <t>WAECHTER</t>
  </si>
  <si>
    <t>HENZE</t>
  </si>
  <si>
    <t>LOPEZ AGUILAR</t>
  </si>
  <si>
    <t>MOHR</t>
  </si>
  <si>
    <t>KITZKE</t>
  </si>
  <si>
    <t>SALINAS</t>
  </si>
  <si>
    <t>QUEDENBAUM</t>
  </si>
  <si>
    <t>VAN RENSBURG</t>
  </si>
  <si>
    <t>XX</t>
  </si>
  <si>
    <t>WASNER</t>
  </si>
  <si>
    <t>GRUNSCHALL</t>
  </si>
  <si>
    <t>STEFFAN</t>
  </si>
  <si>
    <t>BURRICHTER</t>
  </si>
  <si>
    <t>WINTER</t>
  </si>
  <si>
    <t>LEO</t>
  </si>
  <si>
    <t>FERNANDEZ</t>
  </si>
  <si>
    <t>VASEL</t>
  </si>
  <si>
    <t>HECKER</t>
  </si>
  <si>
    <t>MARTINEZ</t>
  </si>
  <si>
    <t>VERGARA</t>
  </si>
  <si>
    <t>WEBER</t>
  </si>
  <si>
    <t>MATSUOKA</t>
  </si>
  <si>
    <t>WILLS</t>
  </si>
  <si>
    <t>YOUNGSON</t>
  </si>
  <si>
    <t>NEUWEG</t>
  </si>
  <si>
    <t>MAI</t>
  </si>
  <si>
    <t>WESTPHAL</t>
  </si>
  <si>
    <t>RUMPEL</t>
  </si>
  <si>
    <t>DONHEISER</t>
  </si>
  <si>
    <t>GHAZI</t>
  </si>
  <si>
    <t>HARTUNG</t>
  </si>
  <si>
    <t>TOUMA</t>
  </si>
  <si>
    <t>MARKOVA</t>
  </si>
  <si>
    <t>TEICHMANN</t>
  </si>
  <si>
    <t>FU</t>
  </si>
  <si>
    <t>LAJA</t>
  </si>
  <si>
    <t>EIJKENBOOM</t>
  </si>
  <si>
    <t>SCHNEIDER</t>
  </si>
  <si>
    <t>COHEN</t>
  </si>
  <si>
    <t>MORINI</t>
  </si>
  <si>
    <t>MALEY</t>
  </si>
  <si>
    <t>LEE</t>
  </si>
  <si>
    <t>CHIZARI</t>
  </si>
  <si>
    <t>MÄHLER</t>
  </si>
  <si>
    <t>MANSVELD</t>
  </si>
  <si>
    <t>KILIAN</t>
  </si>
  <si>
    <t>TERHO</t>
  </si>
  <si>
    <t>PALIIN</t>
  </si>
  <si>
    <t>OBST</t>
  </si>
  <si>
    <t>VENN</t>
  </si>
  <si>
    <t>HERNANDEZ</t>
  </si>
  <si>
    <t>ERDMANN</t>
  </si>
  <si>
    <t>WERNECKE</t>
  </si>
  <si>
    <t>JOSEPH</t>
  </si>
  <si>
    <t>LANNA</t>
  </si>
  <si>
    <t>EVANS</t>
  </si>
  <si>
    <t>C</t>
  </si>
  <si>
    <t>HŰBNER</t>
  </si>
  <si>
    <t>KRUEGER</t>
  </si>
  <si>
    <t>TYMOSHENKO</t>
  </si>
  <si>
    <t>YOUNG</t>
  </si>
  <si>
    <t>VELIKANJE</t>
  </si>
  <si>
    <t>YOHANNES</t>
  </si>
  <si>
    <t>NAGEL</t>
  </si>
  <si>
    <t>BUSCHMANN</t>
  </si>
  <si>
    <t>MAMAY</t>
  </si>
  <si>
    <t>ANTHONS</t>
  </si>
  <si>
    <t>FISCHER</t>
  </si>
  <si>
    <t>NGUYEN</t>
  </si>
  <si>
    <t>DIEHL</t>
  </si>
  <si>
    <t>DOE</t>
  </si>
  <si>
    <t>FIDDLE</t>
  </si>
  <si>
    <t>AARON</t>
  </si>
  <si>
    <t>VOUNCH</t>
  </si>
  <si>
    <t>POUNE</t>
  </si>
  <si>
    <t>TEPIUK</t>
  </si>
  <si>
    <t>ARNDT</t>
  </si>
  <si>
    <t>RIEDL</t>
  </si>
  <si>
    <t>LIEBISCH</t>
  </si>
  <si>
    <t>POLYN</t>
  </si>
  <si>
    <t>BODE</t>
  </si>
  <si>
    <t>FERENC</t>
  </si>
  <si>
    <t>GINZBURG</t>
  </si>
  <si>
    <t>FRENAR</t>
  </si>
  <si>
    <t>SCULLO</t>
  </si>
  <si>
    <t>FŐRSTER</t>
  </si>
  <si>
    <t>PHILE</t>
  </si>
  <si>
    <t>GEORG</t>
  </si>
  <si>
    <t>MAAS</t>
  </si>
  <si>
    <t>UYRAC</t>
  </si>
  <si>
    <t>BÉRES</t>
  </si>
  <si>
    <t>CLERICI</t>
  </si>
  <si>
    <t>MEYER</t>
  </si>
  <si>
    <t>STAHMANN</t>
  </si>
  <si>
    <t>BALASHANMUGAM</t>
  </si>
  <si>
    <t>KINSELLA</t>
  </si>
  <si>
    <t>XIU</t>
  </si>
  <si>
    <t>SHAMMAS</t>
  </si>
  <si>
    <t>HERZOG</t>
  </si>
  <si>
    <t>BERGE</t>
  </si>
  <si>
    <t>RATZEL</t>
  </si>
  <si>
    <t>PINICK</t>
  </si>
  <si>
    <t>VEDEL</t>
  </si>
  <si>
    <t>GRAEFENHAIN</t>
  </si>
  <si>
    <t>TAPLIN</t>
  </si>
  <si>
    <t>FRIEMEL</t>
  </si>
  <si>
    <t>HANSEN</t>
  </si>
  <si>
    <t>OLDENBURG</t>
  </si>
  <si>
    <t>OKAMI</t>
  </si>
  <si>
    <t>HAGEN</t>
  </si>
  <si>
    <t>SCHMIEDEKIND</t>
  </si>
  <si>
    <t>UNIGARRO</t>
  </si>
  <si>
    <t>BICHMANN</t>
  </si>
  <si>
    <t>SCHAFF</t>
  </si>
  <si>
    <t>REICH</t>
  </si>
  <si>
    <t>ISDAR</t>
  </si>
  <si>
    <t>GRZESKOWIAK</t>
  </si>
  <si>
    <t>RYAN</t>
  </si>
  <si>
    <t>MURPHY</t>
  </si>
  <si>
    <t>KANG</t>
  </si>
  <si>
    <t>HANSCH</t>
  </si>
  <si>
    <t>GHISLANDI</t>
  </si>
  <si>
    <t>ULASAVA-RAZANSKAYA</t>
  </si>
  <si>
    <t>MCKENNA</t>
  </si>
  <si>
    <t>HEROLD</t>
  </si>
  <si>
    <t>KERN</t>
  </si>
  <si>
    <t>SCHLICHT</t>
  </si>
  <si>
    <t>KLOPIN</t>
  </si>
  <si>
    <t>MCINNES</t>
  </si>
  <si>
    <t>GU</t>
  </si>
  <si>
    <t>QUELLA</t>
  </si>
  <si>
    <t>ROEGEL</t>
  </si>
  <si>
    <t>ORTIZ</t>
  </si>
  <si>
    <t>SCHOLTZ</t>
  </si>
  <si>
    <t>CARVALHO</t>
  </si>
  <si>
    <t>REAFOR</t>
  </si>
  <si>
    <t>STEAD</t>
  </si>
  <si>
    <t>REYES</t>
  </si>
  <si>
    <t>BOBACH</t>
  </si>
  <si>
    <t>AUFF</t>
  </si>
  <si>
    <t>PASADINA</t>
  </si>
  <si>
    <t>DEAN</t>
  </si>
  <si>
    <t>SCOTT</t>
  </si>
  <si>
    <t>AL JAMAL</t>
  </si>
  <si>
    <t>HINODE</t>
  </si>
  <si>
    <t>MOENNIG</t>
  </si>
  <si>
    <t>CHIU</t>
  </si>
  <si>
    <t>CHAVEZ</t>
  </si>
  <si>
    <t>AURINA</t>
  </si>
  <si>
    <t>SCHAEFER</t>
  </si>
  <si>
    <t>KOBAKHIDZE</t>
  </si>
  <si>
    <t>JEDRZEJCZYK</t>
  </si>
  <si>
    <t>IWAMA</t>
  </si>
  <si>
    <t>BJORNSDOTTIR</t>
  </si>
  <si>
    <t>SHABANOVA</t>
  </si>
  <si>
    <t>DELAGRENE</t>
  </si>
  <si>
    <t>TOLDO</t>
  </si>
  <si>
    <t>REIMANN</t>
  </si>
  <si>
    <t>SCHEIT</t>
  </si>
  <si>
    <t>ROTHER-BOCK</t>
  </si>
  <si>
    <t>BRANDENBURGER</t>
  </si>
  <si>
    <t>POPOVSKI</t>
  </si>
  <si>
    <t>LIU</t>
  </si>
  <si>
    <t>GIELINGERM</t>
  </si>
  <si>
    <t>VON PURNE</t>
  </si>
  <si>
    <t>HAUB</t>
  </si>
  <si>
    <t>TRAN</t>
  </si>
  <si>
    <t>FREHSE</t>
  </si>
  <si>
    <t>ISIDOROV</t>
  </si>
  <si>
    <t>ANDERSSON</t>
  </si>
  <si>
    <t>BAGDASARYAN</t>
  </si>
  <si>
    <t>SCHMIDT</t>
  </si>
  <si>
    <t>TILERO</t>
  </si>
  <si>
    <t>ARMONI</t>
  </si>
  <si>
    <t>DEEP</t>
  </si>
  <si>
    <t>SAAVEDRA</t>
  </si>
  <si>
    <t>BECKER</t>
  </si>
  <si>
    <t>ZOREDA</t>
  </si>
  <si>
    <t>GALLENZ</t>
  </si>
  <si>
    <t>DOYLE</t>
  </si>
  <si>
    <t>FELDMANN</t>
  </si>
  <si>
    <t>SCHUBERT</t>
  </si>
  <si>
    <t>KARUNARATNE</t>
  </si>
  <si>
    <t>DELARRUA</t>
  </si>
  <si>
    <t>KONZ</t>
  </si>
  <si>
    <t>GRAUPNER</t>
  </si>
  <si>
    <t>MATSUYAMA</t>
  </si>
  <si>
    <t>LEON LOPEZ</t>
  </si>
  <si>
    <t>ARGÜELLO GUERRA</t>
  </si>
  <si>
    <t>WALIA</t>
  </si>
  <si>
    <t>LAURA X</t>
  </si>
  <si>
    <t>FRAFJORD</t>
  </si>
  <si>
    <t>SCHULTE</t>
  </si>
  <si>
    <t>HORN</t>
  </si>
  <si>
    <t>KUSKE</t>
  </si>
  <si>
    <t>MEROVICH</t>
  </si>
  <si>
    <t>STERN</t>
  </si>
  <si>
    <t>魚津</t>
  </si>
  <si>
    <t>GARÍ</t>
  </si>
  <si>
    <t>RITTHALER</t>
  </si>
  <si>
    <t>MANDYUK</t>
  </si>
  <si>
    <t>ROBERT</t>
  </si>
  <si>
    <t>RODRIGUEZ</t>
  </si>
  <si>
    <t>ANDRYSZAK</t>
  </si>
  <si>
    <t>RUIZ</t>
  </si>
  <si>
    <t>BALEK</t>
  </si>
  <si>
    <t>KULWANOWSKI</t>
  </si>
  <si>
    <t>RUELLA</t>
  </si>
  <si>
    <t>FAUBER</t>
  </si>
  <si>
    <t>RETTEL</t>
  </si>
  <si>
    <t>AZAMATOVA</t>
  </si>
  <si>
    <t>KONIEVA</t>
  </si>
  <si>
    <t>IKON</t>
  </si>
  <si>
    <t>PAULHAMMER</t>
  </si>
  <si>
    <t>GOMEZ</t>
  </si>
  <si>
    <t>BARBA</t>
  </si>
  <si>
    <t>CACERES HARDY</t>
  </si>
  <si>
    <t>KLINKHAMMER</t>
  </si>
  <si>
    <t>SHUSTOVA</t>
  </si>
  <si>
    <t>ULLOA</t>
  </si>
  <si>
    <t>MARTYNA</t>
  </si>
  <si>
    <t>YIN</t>
  </si>
  <si>
    <t>LENER</t>
  </si>
  <si>
    <t>MOHD ZIN</t>
  </si>
  <si>
    <t>S</t>
  </si>
  <si>
    <t>SANTOS</t>
  </si>
  <si>
    <t>GRŰNER</t>
  </si>
  <si>
    <t>OENICKE</t>
  </si>
  <si>
    <t>KHOUANI</t>
  </si>
  <si>
    <t>NEUMANN</t>
  </si>
  <si>
    <t>VELEMIR DIAZ</t>
  </si>
  <si>
    <t>ROMANCZUKIEWICZ</t>
  </si>
  <si>
    <t>GREENOUGH</t>
  </si>
  <si>
    <t>COSTA</t>
  </si>
  <si>
    <t>PANTHER</t>
  </si>
  <si>
    <t>KRATZEL</t>
  </si>
  <si>
    <t>SOLBERG</t>
  </si>
  <si>
    <t>OTHER</t>
  </si>
  <si>
    <t>SUNEER</t>
  </si>
  <si>
    <t>BURROZ</t>
  </si>
  <si>
    <t>KIRK</t>
  </si>
  <si>
    <t>FEEY</t>
  </si>
  <si>
    <t>MATEI</t>
  </si>
  <si>
    <t>KANAGARAJ</t>
  </si>
  <si>
    <t>LOPEZ</t>
  </si>
  <si>
    <t>SABNANI</t>
  </si>
  <si>
    <t>JACKSON</t>
  </si>
  <si>
    <t>JANKAMA</t>
  </si>
  <si>
    <t>DUMILE</t>
  </si>
  <si>
    <t>ORLANA</t>
  </si>
  <si>
    <t>JONATAN</t>
  </si>
  <si>
    <t>ROSENLEITNER</t>
  </si>
  <si>
    <t>FREUNCH</t>
  </si>
  <si>
    <t>DUMERN</t>
  </si>
  <si>
    <t>HAIMET</t>
  </si>
  <si>
    <t>MONTEGU</t>
  </si>
  <si>
    <t>UTRERA</t>
  </si>
  <si>
    <t>NEIMANN</t>
  </si>
  <si>
    <t>MORALES</t>
  </si>
  <si>
    <t>BORN</t>
  </si>
  <si>
    <t>MUELLER</t>
  </si>
  <si>
    <t>MAGNIS</t>
  </si>
  <si>
    <t>FLOR</t>
  </si>
  <si>
    <t>NEULING</t>
  </si>
  <si>
    <t>HOMMEL</t>
  </si>
  <si>
    <t>ESCOBAR</t>
  </si>
  <si>
    <t>MELONARI</t>
  </si>
  <si>
    <t>DEL SAVIO</t>
  </si>
  <si>
    <t>BORGHOLTE</t>
  </si>
  <si>
    <t>PLAZA</t>
  </si>
  <si>
    <t>EISENHAUER</t>
  </si>
  <si>
    <t>PROPOWSKI</t>
  </si>
  <si>
    <t>LUNDI</t>
  </si>
  <si>
    <t>MAYER</t>
  </si>
  <si>
    <t>LÉONARD</t>
  </si>
  <si>
    <t>MORTON</t>
  </si>
  <si>
    <t>ELLERBRAKE</t>
  </si>
  <si>
    <t>FREITAG</t>
  </si>
  <si>
    <t>YOUSEFI</t>
  </si>
  <si>
    <t>CLARK</t>
  </si>
  <si>
    <t>YANG</t>
  </si>
  <si>
    <t>GAYLE</t>
  </si>
  <si>
    <t>PERUSE</t>
  </si>
  <si>
    <t>KIBERD</t>
  </si>
  <si>
    <t>PETERSON</t>
  </si>
  <si>
    <t>AKMAN</t>
  </si>
  <si>
    <t>KARAMUSTAFA</t>
  </si>
  <si>
    <t>TSIKLAURI</t>
  </si>
  <si>
    <t>LANGWALLNER</t>
  </si>
  <si>
    <t>VONAU</t>
  </si>
  <si>
    <t>SHIRALIYEVA</t>
  </si>
  <si>
    <t>TUNA</t>
  </si>
  <si>
    <t>SJOUKES</t>
  </si>
  <si>
    <t>F.</t>
  </si>
  <si>
    <t>NICKONS</t>
  </si>
  <si>
    <t>TRÄGER</t>
  </si>
  <si>
    <t>VULETIC</t>
  </si>
  <si>
    <t>LUKIC</t>
  </si>
  <si>
    <t>PACHECO</t>
  </si>
  <si>
    <t>REVAULT</t>
  </si>
  <si>
    <t>MASIUTINA</t>
  </si>
  <si>
    <t>POON</t>
  </si>
  <si>
    <t>FLEDIG</t>
  </si>
  <si>
    <t>PEREYRA MOINE</t>
  </si>
  <si>
    <t>MERRIMAN</t>
  </si>
  <si>
    <t>TISSOT</t>
  </si>
  <si>
    <t>GONZALES</t>
  </si>
  <si>
    <t>DIMITRIENKO</t>
  </si>
  <si>
    <t>FERNANDEZ DEL VALLE</t>
  </si>
  <si>
    <t>GENDRON</t>
  </si>
  <si>
    <t>BABENTSOVA</t>
  </si>
  <si>
    <t>NAVAL</t>
  </si>
  <si>
    <t>OULIER</t>
  </si>
  <si>
    <t>SANTODOMINGO</t>
  </si>
  <si>
    <t>WEHRMANN</t>
  </si>
  <si>
    <t>SERRA</t>
  </si>
  <si>
    <t>STAVRAKIS</t>
  </si>
  <si>
    <t>QUAST</t>
  </si>
  <si>
    <t>YAN</t>
  </si>
  <si>
    <t>GAISBAUER</t>
  </si>
  <si>
    <t>SILVA</t>
  </si>
  <si>
    <t>PERKS</t>
  </si>
  <si>
    <t>RESTEPO</t>
  </si>
  <si>
    <t>GUNEYSU</t>
  </si>
  <si>
    <t>HEIDEGGER</t>
  </si>
  <si>
    <t>SCHWARZ</t>
  </si>
  <si>
    <t>VILLALOBOS</t>
  </si>
  <si>
    <t>RENOLD</t>
  </si>
  <si>
    <t>WENDLAND</t>
  </si>
  <si>
    <t>DALLY</t>
  </si>
  <si>
    <t>GULO</t>
  </si>
  <si>
    <t>YUO</t>
  </si>
  <si>
    <t>opening_closing</t>
  </si>
  <si>
    <t>PERSONALIZATION</t>
  </si>
  <si>
    <t>Date</t>
  </si>
  <si>
    <t>Type</t>
  </si>
  <si>
    <t>Store</t>
  </si>
  <si>
    <t>Pos</t>
  </si>
  <si>
    <t>Number</t>
  </si>
  <si>
    <t>Article Code</t>
  </si>
  <si>
    <t>Client</t>
  </si>
  <si>
    <t>Retailer</t>
  </si>
  <si>
    <t>Mode Creation</t>
  </si>
  <si>
    <t>Mode Generation</t>
  </si>
  <si>
    <t>Tax Family</t>
  </si>
  <si>
    <t>Document Number</t>
  </si>
  <si>
    <t>Price unit including VAT</t>
  </si>
  <si>
    <t>Total discount</t>
  </si>
  <si>
    <t>Mode Creation2</t>
  </si>
  <si>
    <t>name/surname</t>
  </si>
  <si>
    <t>Line</t>
  </si>
  <si>
    <t>Item</t>
  </si>
  <si>
    <t>Discount %</t>
  </si>
  <si>
    <t>Total unit excluding VAT</t>
  </si>
  <si>
    <t>Price unit netto including VAT</t>
  </si>
  <si>
    <t>Amount VAT</t>
  </si>
  <si>
    <t>Quantity</t>
  </si>
  <si>
    <t>006    30379</t>
  </si>
  <si>
    <t>006    30380</t>
  </si>
  <si>
    <t>006    30381</t>
  </si>
  <si>
    <t>006    30382</t>
  </si>
  <si>
    <t>006    30383</t>
  </si>
  <si>
    <t>006    30384</t>
  </si>
  <si>
    <t>006    30385</t>
  </si>
  <si>
    <t>006    30386</t>
  </si>
  <si>
    <t>006    30387</t>
  </si>
  <si>
    <t>006    30388</t>
  </si>
  <si>
    <t>006    30389</t>
  </si>
  <si>
    <t>006    30391</t>
  </si>
  <si>
    <t>006    30392</t>
  </si>
  <si>
    <t>006    30393</t>
  </si>
  <si>
    <t>006    30394</t>
  </si>
  <si>
    <t>006    30395</t>
  </si>
  <si>
    <t>006    30396</t>
  </si>
  <si>
    <t>006    30397</t>
  </si>
  <si>
    <t>006    30398</t>
  </si>
  <si>
    <t>006    30399</t>
  </si>
  <si>
    <t>006    30400</t>
  </si>
  <si>
    <t>006    30401</t>
  </si>
  <si>
    <t>006    30402</t>
  </si>
  <si>
    <t>006    30403</t>
  </si>
  <si>
    <t>006    30404</t>
  </si>
  <si>
    <t>006    30405</t>
  </si>
  <si>
    <t>006    30406</t>
  </si>
  <si>
    <t>006    30407</t>
  </si>
  <si>
    <t>006    30408</t>
  </si>
  <si>
    <t>006    30409</t>
  </si>
  <si>
    <t>006    30410</t>
  </si>
  <si>
    <t>006    30411</t>
  </si>
  <si>
    <t>006    30412</t>
  </si>
  <si>
    <t>006    30413</t>
  </si>
  <si>
    <t>006    30414</t>
  </si>
  <si>
    <t>006    30415</t>
  </si>
  <si>
    <t>006    30416</t>
  </si>
  <si>
    <t>006    30417</t>
  </si>
  <si>
    <t>006    30418</t>
  </si>
  <si>
    <t>006    30419</t>
  </si>
  <si>
    <t>006    30420</t>
  </si>
  <si>
    <t>006    30421</t>
  </si>
  <si>
    <t>006    30422</t>
  </si>
  <si>
    <t>006    30423</t>
  </si>
  <si>
    <t>006    30424</t>
  </si>
  <si>
    <t>006    30425</t>
  </si>
  <si>
    <t>006    30426</t>
  </si>
  <si>
    <t>006    30427</t>
  </si>
  <si>
    <t>006    30428</t>
  </si>
  <si>
    <t>006    30429</t>
  </si>
  <si>
    <t>006    30430</t>
  </si>
  <si>
    <t>006    30431</t>
  </si>
  <si>
    <t>006    30432</t>
  </si>
  <si>
    <t>006    30433</t>
  </si>
  <si>
    <t>006    30434</t>
  </si>
  <si>
    <t>006    30435</t>
  </si>
  <si>
    <t>006    30436</t>
  </si>
  <si>
    <t>006    30437</t>
  </si>
  <si>
    <t>006    30438</t>
  </si>
  <si>
    <t>006    30439</t>
  </si>
  <si>
    <t>006    30440</t>
  </si>
  <si>
    <t>006    30441</t>
  </si>
  <si>
    <t>006    30442</t>
  </si>
  <si>
    <t>006    30443</t>
  </si>
  <si>
    <t>006    30444</t>
  </si>
  <si>
    <t>006    30445</t>
  </si>
  <si>
    <t>006    30446</t>
  </si>
  <si>
    <t>006    30447</t>
  </si>
  <si>
    <t>006    30448</t>
  </si>
  <si>
    <t>006    30449</t>
  </si>
  <si>
    <t>006    30450</t>
  </si>
  <si>
    <t>006    30451</t>
  </si>
  <si>
    <t>006    30452</t>
  </si>
  <si>
    <t>006    30453</t>
  </si>
  <si>
    <t>006    30454</t>
  </si>
  <si>
    <t>006    30455</t>
  </si>
  <si>
    <t>006    30456</t>
  </si>
  <si>
    <t>006    30457</t>
  </si>
  <si>
    <t>006    30458</t>
  </si>
  <si>
    <t>006    30459</t>
  </si>
  <si>
    <t>006    30460</t>
  </si>
  <si>
    <t>006    30461</t>
  </si>
  <si>
    <t>006    30462</t>
  </si>
  <si>
    <t>006    30463</t>
  </si>
  <si>
    <t>006    30464</t>
  </si>
  <si>
    <t>006    30465</t>
  </si>
  <si>
    <t>006    30466</t>
  </si>
  <si>
    <t>006    30467</t>
  </si>
  <si>
    <t>006    30468</t>
  </si>
  <si>
    <t>006    30469</t>
  </si>
  <si>
    <t>006    30470</t>
  </si>
  <si>
    <t>006    30471</t>
  </si>
  <si>
    <t>006    30472</t>
  </si>
  <si>
    <t>006    30473</t>
  </si>
  <si>
    <t>006    30474</t>
  </si>
  <si>
    <t>006    30475</t>
  </si>
  <si>
    <t>006    30476</t>
  </si>
  <si>
    <t>006    30477</t>
  </si>
  <si>
    <t>006    30478</t>
  </si>
  <si>
    <t>006    30479</t>
  </si>
  <si>
    <t>006    30480</t>
  </si>
  <si>
    <t>006    30481</t>
  </si>
  <si>
    <t>006    30482</t>
  </si>
  <si>
    <t>006    30483</t>
  </si>
  <si>
    <t>006    30484</t>
  </si>
  <si>
    <t>006    30485</t>
  </si>
  <si>
    <t>006    30486</t>
  </si>
  <si>
    <t>006    30487</t>
  </si>
  <si>
    <t>006    30488</t>
  </si>
  <si>
    <t>006    30489</t>
  </si>
  <si>
    <t>006    30490</t>
  </si>
  <si>
    <t>006    30491</t>
  </si>
  <si>
    <t>006    30492</t>
  </si>
  <si>
    <t>006    30493</t>
  </si>
  <si>
    <t>006    30494</t>
  </si>
  <si>
    <t>006    30495</t>
  </si>
  <si>
    <t>006    30496</t>
  </si>
  <si>
    <t>006    30497</t>
  </si>
  <si>
    <t>006    30498</t>
  </si>
  <si>
    <t>006    30499</t>
  </si>
  <si>
    <t>006    30500</t>
  </si>
  <si>
    <t>006    30501</t>
  </si>
  <si>
    <t>006    30502</t>
  </si>
  <si>
    <t>006    30503</t>
  </si>
  <si>
    <t>006    30504</t>
  </si>
  <si>
    <t>006    30505</t>
  </si>
  <si>
    <t>006    30506</t>
  </si>
  <si>
    <t>006    30507</t>
  </si>
  <si>
    <t>006    30508</t>
  </si>
  <si>
    <t>006    30509</t>
  </si>
  <si>
    <t>006    30510</t>
  </si>
  <si>
    <t>006    30511</t>
  </si>
  <si>
    <t>006    30512</t>
  </si>
  <si>
    <t>006    30513</t>
  </si>
  <si>
    <t>006    30514</t>
  </si>
  <si>
    <t>006    30515</t>
  </si>
  <si>
    <t>006    30516</t>
  </si>
  <si>
    <t>006    30517</t>
  </si>
  <si>
    <t>006    30518</t>
  </si>
  <si>
    <t>006    30519</t>
  </si>
  <si>
    <t>006    30520</t>
  </si>
  <si>
    <t>006    30521</t>
  </si>
  <si>
    <t>006    30522</t>
  </si>
  <si>
    <t>006    30523</t>
  </si>
  <si>
    <t>006    30524</t>
  </si>
  <si>
    <t>006    30525</t>
  </si>
  <si>
    <t>006    30526</t>
  </si>
  <si>
    <t>006    30527</t>
  </si>
  <si>
    <t>006    30528</t>
  </si>
  <si>
    <t>006    30529</t>
  </si>
  <si>
    <t>006    30530</t>
  </si>
  <si>
    <t>006    30531</t>
  </si>
  <si>
    <t>006    30532</t>
  </si>
  <si>
    <t>006    30533</t>
  </si>
  <si>
    <t>006    30534</t>
  </si>
  <si>
    <t>006    30535</t>
  </si>
  <si>
    <t>006    30536</t>
  </si>
  <si>
    <t>006    30537</t>
  </si>
  <si>
    <t>006    30538</t>
  </si>
  <si>
    <t>006    30539</t>
  </si>
  <si>
    <t>006    30540</t>
  </si>
  <si>
    <t>006    30541</t>
  </si>
  <si>
    <t>006    30542</t>
  </si>
  <si>
    <t>006    30543</t>
  </si>
  <si>
    <t>006    30544</t>
  </si>
  <si>
    <t>006    30545</t>
  </si>
  <si>
    <t>006    30546</t>
  </si>
  <si>
    <t>006    30547</t>
  </si>
  <si>
    <t>006    30548</t>
  </si>
  <si>
    <t>006    30549</t>
  </si>
  <si>
    <t>006    30550</t>
  </si>
  <si>
    <t>006    30551</t>
  </si>
  <si>
    <t>006    30552</t>
  </si>
  <si>
    <t>006    30553</t>
  </si>
  <si>
    <t>006    30554</t>
  </si>
  <si>
    <t>006    30555</t>
  </si>
  <si>
    <t>006    30556</t>
  </si>
  <si>
    <t>006    30557</t>
  </si>
  <si>
    <t>006    30558</t>
  </si>
  <si>
    <t>006    30559</t>
  </si>
  <si>
    <t>006    30560</t>
  </si>
  <si>
    <t>006    30561</t>
  </si>
  <si>
    <t>006    30562</t>
  </si>
  <si>
    <t>006    30563</t>
  </si>
  <si>
    <t>006    30564</t>
  </si>
  <si>
    <t>006    30565</t>
  </si>
  <si>
    <t>006    30566</t>
  </si>
  <si>
    <t>006    30567</t>
  </si>
  <si>
    <t>006    30568</t>
  </si>
  <si>
    <t>006    30569</t>
  </si>
  <si>
    <t>006    30570</t>
  </si>
  <si>
    <t>006    30571</t>
  </si>
  <si>
    <t>006    30572</t>
  </si>
  <si>
    <t>006    30573</t>
  </si>
  <si>
    <t>006    30574</t>
  </si>
  <si>
    <t>006    30575</t>
  </si>
  <si>
    <t>006    30576</t>
  </si>
  <si>
    <t>006    30577</t>
  </si>
  <si>
    <t>006    30578</t>
  </si>
  <si>
    <t>006    30579</t>
  </si>
  <si>
    <t>006    30580</t>
  </si>
  <si>
    <t>006    30581</t>
  </si>
  <si>
    <t>006    30582</t>
  </si>
  <si>
    <t>006    30583</t>
  </si>
  <si>
    <t>006    30584</t>
  </si>
  <si>
    <t>006    30585</t>
  </si>
  <si>
    <t>006    30586</t>
  </si>
  <si>
    <t>006    30587</t>
  </si>
  <si>
    <t>006    30588</t>
  </si>
  <si>
    <t>006    30589</t>
  </si>
  <si>
    <t>006    30590</t>
  </si>
  <si>
    <t>006    30591</t>
  </si>
  <si>
    <t>006    30592</t>
  </si>
  <si>
    <t>006    30593</t>
  </si>
  <si>
    <t>006    30594</t>
  </si>
  <si>
    <t>006    30595</t>
  </si>
  <si>
    <t>006    30596</t>
  </si>
  <si>
    <t>006    30597</t>
  </si>
  <si>
    <t>006    30598</t>
  </si>
  <si>
    <t>006    30599</t>
  </si>
  <si>
    <t>006    30600</t>
  </si>
  <si>
    <t>006    30601</t>
  </si>
  <si>
    <t>006    30602</t>
  </si>
  <si>
    <t>006    30603</t>
  </si>
  <si>
    <t>006    30604</t>
  </si>
  <si>
    <t>006    30605</t>
  </si>
  <si>
    <t>006    30606</t>
  </si>
  <si>
    <t>006    30607</t>
  </si>
  <si>
    <t>006    30608</t>
  </si>
  <si>
    <t>006    30609</t>
  </si>
  <si>
    <t>006    30610</t>
  </si>
  <si>
    <t>006    30611</t>
  </si>
  <si>
    <t>006    30612</t>
  </si>
  <si>
    <t>006    30613</t>
  </si>
  <si>
    <t>006    30614</t>
  </si>
  <si>
    <t>006    30615</t>
  </si>
  <si>
    <t>006    30616</t>
  </si>
  <si>
    <t>006    30617</t>
  </si>
  <si>
    <t>006    30618</t>
  </si>
  <si>
    <t>006    30619</t>
  </si>
  <si>
    <t>006    30620</t>
  </si>
  <si>
    <t>006    30621</t>
  </si>
  <si>
    <t>006    30622</t>
  </si>
  <si>
    <t>006    30623</t>
  </si>
  <si>
    <t>006    30624</t>
  </si>
  <si>
    <t>006    30625</t>
  </si>
  <si>
    <t>006    30626</t>
  </si>
  <si>
    <t>006    30627</t>
  </si>
  <si>
    <t>006    30628</t>
  </si>
  <si>
    <t>006    30629</t>
  </si>
  <si>
    <t>006    30630</t>
  </si>
  <si>
    <t>006    30631</t>
  </si>
  <si>
    <t>006    30632</t>
  </si>
  <si>
    <t>006    30633</t>
  </si>
  <si>
    <t>006    30634</t>
  </si>
  <si>
    <t>006    30635</t>
  </si>
  <si>
    <t>006    30636</t>
  </si>
  <si>
    <t>006    30637</t>
  </si>
  <si>
    <t>006    30638</t>
  </si>
  <si>
    <t>006    30639</t>
  </si>
  <si>
    <t>006    30640</t>
  </si>
  <si>
    <t>006    30641</t>
  </si>
  <si>
    <t>006    30643</t>
  </si>
  <si>
    <t>006    30644</t>
  </si>
  <si>
    <t>006    30645</t>
  </si>
  <si>
    <t>006    30646</t>
  </si>
  <si>
    <t>006    30647</t>
  </si>
  <si>
    <t>006    30648</t>
  </si>
  <si>
    <t>006    30649</t>
  </si>
  <si>
    <t>006    30650</t>
  </si>
  <si>
    <t>006    30651</t>
  </si>
  <si>
    <t>006    30652</t>
  </si>
  <si>
    <t>006    30653</t>
  </si>
  <si>
    <t>006    30654</t>
  </si>
  <si>
    <t>006    30655</t>
  </si>
  <si>
    <t>006    30656</t>
  </si>
  <si>
    <t>006    30657</t>
  </si>
  <si>
    <t>006    30658</t>
  </si>
  <si>
    <t>006    30659</t>
  </si>
  <si>
    <t>006    30660</t>
  </si>
  <si>
    <t>006    30661</t>
  </si>
  <si>
    <t>006    30662</t>
  </si>
  <si>
    <t>006    30663</t>
  </si>
  <si>
    <t>006    30664</t>
  </si>
  <si>
    <t>006    30665</t>
  </si>
  <si>
    <t>006    30666</t>
  </si>
  <si>
    <t>006    30667</t>
  </si>
  <si>
    <t>006    30668</t>
  </si>
  <si>
    <t>006    30669</t>
  </si>
  <si>
    <t>006    30670</t>
  </si>
  <si>
    <t>006    30671</t>
  </si>
  <si>
    <t>006    30672</t>
  </si>
  <si>
    <t>006    30673</t>
  </si>
  <si>
    <t>006    30674</t>
  </si>
  <si>
    <t>006    30675</t>
  </si>
  <si>
    <t>006    30676</t>
  </si>
  <si>
    <t>006    30677</t>
  </si>
  <si>
    <t>006    30678</t>
  </si>
  <si>
    <t>006    30679</t>
  </si>
  <si>
    <t>006    30680</t>
  </si>
  <si>
    <t>006    30681</t>
  </si>
  <si>
    <t>006    30682</t>
  </si>
  <si>
    <t>006    30683</t>
  </si>
  <si>
    <t>006    30684</t>
  </si>
  <si>
    <t>006    30685</t>
  </si>
  <si>
    <t>006    30686</t>
  </si>
  <si>
    <t>006    30687</t>
  </si>
  <si>
    <t>006    30688</t>
  </si>
  <si>
    <t>006    30689</t>
  </si>
  <si>
    <t>006    30690</t>
  </si>
  <si>
    <t>006    30691</t>
  </si>
  <si>
    <t>006    30692</t>
  </si>
  <si>
    <t>006    30693</t>
  </si>
  <si>
    <t>006    30694</t>
  </si>
  <si>
    <t>006    30695</t>
  </si>
  <si>
    <t>006    30696</t>
  </si>
  <si>
    <t>006    30697</t>
  </si>
  <si>
    <t>006    30698</t>
  </si>
  <si>
    <t>006    30699</t>
  </si>
  <si>
    <t>006    30700</t>
  </si>
  <si>
    <t>006    30701</t>
  </si>
  <si>
    <t>006    30702</t>
  </si>
  <si>
    <t>006    30703</t>
  </si>
  <si>
    <t>006    30704</t>
  </si>
  <si>
    <t>006    30705</t>
  </si>
  <si>
    <t>006    30706</t>
  </si>
  <si>
    <t>006    30707</t>
  </si>
  <si>
    <t>006    30708</t>
  </si>
  <si>
    <t>006    30709</t>
  </si>
  <si>
    <t>006    30710</t>
  </si>
  <si>
    <t>006    30711</t>
  </si>
  <si>
    <t>006    30712</t>
  </si>
  <si>
    <t>006    30713</t>
  </si>
  <si>
    <t>006    30714</t>
  </si>
  <si>
    <t>006    30715</t>
  </si>
  <si>
    <t>006    30716</t>
  </si>
  <si>
    <t>006    30717</t>
  </si>
  <si>
    <t>006    30718</t>
  </si>
  <si>
    <t>006    30719</t>
  </si>
  <si>
    <t>006    30720</t>
  </si>
  <si>
    <t>006    30721</t>
  </si>
  <si>
    <t>006    30722</t>
  </si>
  <si>
    <t>006    30723</t>
  </si>
  <si>
    <t>006    30724</t>
  </si>
  <si>
    <t>006    30725</t>
  </si>
  <si>
    <t>006    30726</t>
  </si>
  <si>
    <t>006    30727</t>
  </si>
  <si>
    <t>006    30728</t>
  </si>
  <si>
    <t>006    30729</t>
  </si>
  <si>
    <t>006    30730</t>
  </si>
  <si>
    <t>006    30731</t>
  </si>
  <si>
    <t>006    30732</t>
  </si>
  <si>
    <t>006    30733</t>
  </si>
  <si>
    <t>006    30734</t>
  </si>
  <si>
    <t>006    30735</t>
  </si>
  <si>
    <t>006    30736</t>
  </si>
  <si>
    <t>006    30737</t>
  </si>
  <si>
    <t>006    30738</t>
  </si>
  <si>
    <t>006    30739</t>
  </si>
  <si>
    <t>006    30740</t>
  </si>
  <si>
    <t>006    30741</t>
  </si>
  <si>
    <t>006    30742</t>
  </si>
  <si>
    <t>006    30743</t>
  </si>
  <si>
    <t>006    30744</t>
  </si>
  <si>
    <t>006    30745</t>
  </si>
  <si>
    <t>006    30746</t>
  </si>
  <si>
    <t>006    30747</t>
  </si>
  <si>
    <t>006    30748</t>
  </si>
  <si>
    <t>006    30749</t>
  </si>
  <si>
    <t>006    30750</t>
  </si>
  <si>
    <t>006    30751</t>
  </si>
  <si>
    <t>006    30752</t>
  </si>
  <si>
    <t>006    30753</t>
  </si>
  <si>
    <t>006    30754</t>
  </si>
  <si>
    <t>006    30755</t>
  </si>
  <si>
    <t>006    30756</t>
  </si>
  <si>
    <t>006    30757</t>
  </si>
  <si>
    <t>006    30758</t>
  </si>
  <si>
    <t>006    30759</t>
  </si>
  <si>
    <t>006    30760</t>
  </si>
  <si>
    <t>006    30761</t>
  </si>
  <si>
    <t>006    30762</t>
  </si>
  <si>
    <t>006    30763</t>
  </si>
  <si>
    <t>006    30764</t>
  </si>
  <si>
    <t>006    30765</t>
  </si>
  <si>
    <t>006    30766</t>
  </si>
  <si>
    <t>006    30767</t>
  </si>
  <si>
    <t>006    30768</t>
  </si>
  <si>
    <t>006    30769</t>
  </si>
  <si>
    <t>006    30770</t>
  </si>
  <si>
    <t>006    30771</t>
  </si>
  <si>
    <t>006    30772</t>
  </si>
  <si>
    <t>006    30773</t>
  </si>
  <si>
    <t>006    30774</t>
  </si>
  <si>
    <t>006    30775</t>
  </si>
  <si>
    <t>006    30776</t>
  </si>
  <si>
    <t>006    30777</t>
  </si>
  <si>
    <t>006    30778</t>
  </si>
  <si>
    <t>006    30779</t>
  </si>
  <si>
    <t>006    30780</t>
  </si>
  <si>
    <t>006    30781</t>
  </si>
  <si>
    <t>006    30782</t>
  </si>
  <si>
    <t>006    30783</t>
  </si>
  <si>
    <t>006    30784</t>
  </si>
  <si>
    <t>006    30785</t>
  </si>
  <si>
    <t>006    30786</t>
  </si>
  <si>
    <t>006    30787</t>
  </si>
  <si>
    <t>006    30788</t>
  </si>
  <si>
    <t>006    30789</t>
  </si>
  <si>
    <t>006    30790</t>
  </si>
  <si>
    <t>006    30791</t>
  </si>
  <si>
    <t>006    30792</t>
  </si>
  <si>
    <t>006    30793</t>
  </si>
  <si>
    <t>006    30794</t>
  </si>
  <si>
    <t>006    30795</t>
  </si>
  <si>
    <t>006    30796</t>
  </si>
  <si>
    <t>006    30797</t>
  </si>
  <si>
    <t>006    30798</t>
  </si>
  <si>
    <t>006    30799</t>
  </si>
  <si>
    <t>006    30800</t>
  </si>
  <si>
    <t>006    30801</t>
  </si>
  <si>
    <t>006    30802</t>
  </si>
  <si>
    <t>006    30803</t>
  </si>
  <si>
    <t>006    30804</t>
  </si>
  <si>
    <t>006    30805</t>
  </si>
  <si>
    <t>006    30806</t>
  </si>
  <si>
    <t>006    30807</t>
  </si>
  <si>
    <t>006    30808</t>
  </si>
  <si>
    <t>006    30809</t>
  </si>
  <si>
    <t>006    30810</t>
  </si>
  <si>
    <t>006    30811</t>
  </si>
  <si>
    <t>006    30812</t>
  </si>
  <si>
    <t>006    30813</t>
  </si>
  <si>
    <t>006    30814</t>
  </si>
  <si>
    <t>006    30815</t>
  </si>
  <si>
    <t>006    30816</t>
  </si>
  <si>
    <t>006    30817</t>
  </si>
  <si>
    <t>006    30818</t>
  </si>
  <si>
    <t>006    30819</t>
  </si>
  <si>
    <t>006    30820</t>
  </si>
  <si>
    <t>006    30821</t>
  </si>
  <si>
    <t>006    30822</t>
  </si>
  <si>
    <t>006    30823</t>
  </si>
  <si>
    <t>006    30824</t>
  </si>
  <si>
    <t>006    30825</t>
  </si>
  <si>
    <t>006    30826</t>
  </si>
  <si>
    <t>006    30827</t>
  </si>
  <si>
    <t>006    30828</t>
  </si>
  <si>
    <t>006    30829</t>
  </si>
  <si>
    <t>006    30830</t>
  </si>
  <si>
    <t>006    30831</t>
  </si>
  <si>
    <t>006    30832</t>
  </si>
  <si>
    <t>006    30833</t>
  </si>
  <si>
    <t>006    30834</t>
  </si>
  <si>
    <t>006    30835</t>
  </si>
  <si>
    <t>006    30836</t>
  </si>
  <si>
    <t>006    30837</t>
  </si>
  <si>
    <t>006    30838</t>
  </si>
  <si>
    <t>006    30839</t>
  </si>
  <si>
    <t>006    30840</t>
  </si>
  <si>
    <t>006    30841</t>
  </si>
  <si>
    <t>006    30842</t>
  </si>
  <si>
    <t>006    30843</t>
  </si>
  <si>
    <t>006    30844</t>
  </si>
  <si>
    <t>006    30845</t>
  </si>
  <si>
    <t>006    30846</t>
  </si>
  <si>
    <t>006    30847</t>
  </si>
  <si>
    <t>006    30848</t>
  </si>
  <si>
    <t>006    30849</t>
  </si>
  <si>
    <t>006    30850</t>
  </si>
  <si>
    <t>006    30851</t>
  </si>
  <si>
    <t>006    30852</t>
  </si>
  <si>
    <t>006    30853</t>
  </si>
  <si>
    <t>006    30854</t>
  </si>
  <si>
    <t>006    30855</t>
  </si>
  <si>
    <t>006    30856</t>
  </si>
  <si>
    <t>006    30857</t>
  </si>
  <si>
    <t>006    30858</t>
  </si>
  <si>
    <t>006    30859</t>
  </si>
  <si>
    <t>006    30860</t>
  </si>
  <si>
    <t>006    30861</t>
  </si>
  <si>
    <t>006    30862</t>
  </si>
  <si>
    <t>006    30863</t>
  </si>
  <si>
    <t>006    30864</t>
  </si>
  <si>
    <t>006    30865</t>
  </si>
  <si>
    <t>006    30866</t>
  </si>
  <si>
    <t>006    30867</t>
  </si>
  <si>
    <t>006    30868</t>
  </si>
  <si>
    <t>006    30869</t>
  </si>
  <si>
    <t>006    30870</t>
  </si>
  <si>
    <t>006    30871</t>
  </si>
  <si>
    <t>006    30872</t>
  </si>
  <si>
    <t>006    30873</t>
  </si>
  <si>
    <t>006    30874</t>
  </si>
  <si>
    <t>006    30875</t>
  </si>
  <si>
    <t>006    30876</t>
  </si>
  <si>
    <t>006    30877</t>
  </si>
  <si>
    <t>006    30878</t>
  </si>
  <si>
    <t>006    30879</t>
  </si>
  <si>
    <t>006    30880</t>
  </si>
  <si>
    <t>006    30881</t>
  </si>
  <si>
    <t>006    30882</t>
  </si>
  <si>
    <t>006    30883</t>
  </si>
  <si>
    <t>006    30884</t>
  </si>
  <si>
    <t>006    30885</t>
  </si>
  <si>
    <t>006    30886</t>
  </si>
  <si>
    <t>006    30887</t>
  </si>
  <si>
    <t>006    30888</t>
  </si>
  <si>
    <t>006    30889</t>
  </si>
  <si>
    <t>006    30890</t>
  </si>
  <si>
    <t>006    30891</t>
  </si>
  <si>
    <t>006    30892</t>
  </si>
  <si>
    <t>006    30893</t>
  </si>
  <si>
    <t>006    30894</t>
  </si>
  <si>
    <t>006    30895</t>
  </si>
  <si>
    <t>006    30896</t>
  </si>
  <si>
    <t>006    30897</t>
  </si>
  <si>
    <t>006    30898</t>
  </si>
  <si>
    <t>006    30899</t>
  </si>
  <si>
    <t>006    30900</t>
  </si>
  <si>
    <t>006    30901</t>
  </si>
  <si>
    <t>006    30902</t>
  </si>
  <si>
    <t>006    30903</t>
  </si>
  <si>
    <t>006    30904</t>
  </si>
  <si>
    <t>006    30905</t>
  </si>
  <si>
    <t>006    30906</t>
  </si>
  <si>
    <t>006    30907</t>
  </si>
  <si>
    <t>006    30908</t>
  </si>
  <si>
    <t>006    30909</t>
  </si>
  <si>
    <t>006    30910</t>
  </si>
  <si>
    <t>006    30911</t>
  </si>
  <si>
    <t>006    30912</t>
  </si>
  <si>
    <t>006    30913</t>
  </si>
  <si>
    <t>006    30914</t>
  </si>
  <si>
    <t>006    30915</t>
  </si>
  <si>
    <t>006    30916</t>
  </si>
  <si>
    <t>006    30917</t>
  </si>
  <si>
    <t>006    30918</t>
  </si>
  <si>
    <t>006    30919</t>
  </si>
  <si>
    <t>006    30920</t>
  </si>
  <si>
    <t>006    30921</t>
  </si>
  <si>
    <t>006    30922</t>
  </si>
  <si>
    <t>006    30923</t>
  </si>
  <si>
    <t>006    30924</t>
  </si>
  <si>
    <t>006    30925</t>
  </si>
  <si>
    <t>006    30926</t>
  </si>
  <si>
    <t>006    30927</t>
  </si>
  <si>
    <t>006    30928</t>
  </si>
  <si>
    <t>006    30929</t>
  </si>
  <si>
    <t>006    30930</t>
  </si>
  <si>
    <t>006    30931</t>
  </si>
  <si>
    <t>006    30932</t>
  </si>
  <si>
    <t>006    30933</t>
  </si>
  <si>
    <t>006    30934</t>
  </si>
  <si>
    <t>006    30935</t>
  </si>
  <si>
    <t>006    30936</t>
  </si>
  <si>
    <t>006    30937</t>
  </si>
  <si>
    <t>006    30938</t>
  </si>
  <si>
    <t>006    30939</t>
  </si>
  <si>
    <t>006    30940</t>
  </si>
  <si>
    <t>006    30941</t>
  </si>
  <si>
    <t>006    30942</t>
  </si>
  <si>
    <t>006    30943</t>
  </si>
  <si>
    <t>006    30944</t>
  </si>
  <si>
    <t>006    30945</t>
  </si>
  <si>
    <t>006    30946</t>
  </si>
  <si>
    <t>006    30947</t>
  </si>
  <si>
    <t>006    30948</t>
  </si>
  <si>
    <t>006    30949</t>
  </si>
  <si>
    <t>006    30950</t>
  </si>
  <si>
    <t>006    30951</t>
  </si>
  <si>
    <t>006    30952</t>
  </si>
  <si>
    <t>006    30953</t>
  </si>
  <si>
    <t>006    30954</t>
  </si>
  <si>
    <t>006    30955</t>
  </si>
  <si>
    <t>006    30956</t>
  </si>
  <si>
    <t>006    30957</t>
  </si>
  <si>
    <t>006    30958</t>
  </si>
  <si>
    <t>006    30959</t>
  </si>
  <si>
    <t>006    30960</t>
  </si>
  <si>
    <t>006    30961</t>
  </si>
  <si>
    <t>006    30962</t>
  </si>
  <si>
    <t>006    30963</t>
  </si>
  <si>
    <t>006    30964</t>
  </si>
  <si>
    <t>006    30965</t>
  </si>
  <si>
    <t>006    30966</t>
  </si>
  <si>
    <t>006    30967</t>
  </si>
  <si>
    <t>006    30968</t>
  </si>
  <si>
    <t>006    30969</t>
  </si>
  <si>
    <t>006    30970</t>
  </si>
  <si>
    <t>006    30971</t>
  </si>
  <si>
    <t>006    30972</t>
  </si>
  <si>
    <t>006    30973</t>
  </si>
  <si>
    <t>006    30974</t>
  </si>
  <si>
    <t>006    30975</t>
  </si>
  <si>
    <t>006    30976</t>
  </si>
  <si>
    <t>006    30977</t>
  </si>
  <si>
    <t>006    30978</t>
  </si>
  <si>
    <t>006    30979</t>
  </si>
  <si>
    <t>006    30980</t>
  </si>
  <si>
    <t>006    30981</t>
  </si>
  <si>
    <t>006    30982</t>
  </si>
  <si>
    <t>006    30983</t>
  </si>
  <si>
    <t>006    30984</t>
  </si>
  <si>
    <t>006    30985</t>
  </si>
  <si>
    <t>006    30986</t>
  </si>
  <si>
    <t>006    30987</t>
  </si>
  <si>
    <t>006    30988</t>
  </si>
  <si>
    <t>006    30989</t>
  </si>
  <si>
    <t>006    30990</t>
  </si>
  <si>
    <t>006    30991</t>
  </si>
  <si>
    <t>006    30992</t>
  </si>
  <si>
    <t>006    30993</t>
  </si>
  <si>
    <t>006    30994</t>
  </si>
  <si>
    <t>006    30995</t>
  </si>
  <si>
    <t>006    30996</t>
  </si>
  <si>
    <t>006    30997</t>
  </si>
  <si>
    <t>006    30998</t>
  </si>
  <si>
    <t>006    30999</t>
  </si>
  <si>
    <t>006    31000</t>
  </si>
  <si>
    <t>006    31001</t>
  </si>
  <si>
    <t>006    31002</t>
  </si>
  <si>
    <t>006    31003</t>
  </si>
  <si>
    <t>CCK</t>
  </si>
  <si>
    <t>ITEM 2</t>
  </si>
  <si>
    <t>ITEM 3</t>
  </si>
  <si>
    <t>ITEM 4</t>
  </si>
  <si>
    <t>ITEM 5</t>
  </si>
  <si>
    <t>ITEM 6</t>
  </si>
  <si>
    <t>ITEM 8</t>
  </si>
  <si>
    <t>ITEM 9</t>
  </si>
  <si>
    <t>ITEM 10</t>
  </si>
  <si>
    <t>ITEM 11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</si>
  <si>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</si>
  <si>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</si>
  <si>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</si>
  <si>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</si>
  <si>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</si>
  <si>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</si>
  <si>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</si>
  <si>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</si>
  <si>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</si>
  <si>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</si>
  <si>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</si>
  <si>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</si>
  <si>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</si>
  <si>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28</t>
  </si>
  <si>
    <t>ITEM 29</t>
  </si>
  <si>
    <t>ITEM 30</t>
  </si>
  <si>
    <t>ITEM 31</t>
  </si>
  <si>
    <t>ITEM 34</t>
  </si>
  <si>
    <t>ITEM 36</t>
  </si>
  <si>
    <t>ITEM 37</t>
  </si>
  <si>
    <t>ITEM 38</t>
  </si>
  <si>
    <t>ITEM 39</t>
  </si>
  <si>
    <t>ITEM 40</t>
  </si>
  <si>
    <t>ITEM 42</t>
  </si>
  <si>
    <t>ITEM 43</t>
  </si>
  <si>
    <t>ITEM 44</t>
  </si>
  <si>
    <t>ITEM 45</t>
  </si>
  <si>
    <t>ITEM 46</t>
  </si>
  <si>
    <t>ITEM 47</t>
  </si>
  <si>
    <t>ITEM 48</t>
  </si>
  <si>
    <t>ITEM 49</t>
  </si>
  <si>
    <t>ITEM 50</t>
  </si>
  <si>
    <t>ITEM 52</t>
  </si>
  <si>
    <t>ITEM 53</t>
  </si>
  <si>
    <t>ITEM 54</t>
  </si>
  <si>
    <t>ITEM 57</t>
  </si>
  <si>
    <t>ITEM 58</t>
  </si>
  <si>
    <t>ITEM 59</t>
  </si>
  <si>
    <t>ITEM 61</t>
  </si>
  <si>
    <t>ITEM 62</t>
  </si>
  <si>
    <t>ITEM 63</t>
  </si>
  <si>
    <t>ITEM 65</t>
  </si>
  <si>
    <t>ITEM 66</t>
  </si>
  <si>
    <t>ITEM 67</t>
  </si>
  <si>
    <t>ITEM 68</t>
  </si>
  <si>
    <t>ITEM 70</t>
  </si>
  <si>
    <t>ITEM 71</t>
  </si>
  <si>
    <t>ITEM 73</t>
  </si>
  <si>
    <t>ITEM 74</t>
  </si>
  <si>
    <t>ITEM 75</t>
  </si>
  <si>
    <t>ITEM 77</t>
  </si>
  <si>
    <t>ITEM 78</t>
  </si>
  <si>
    <t>ITEM 79</t>
  </si>
  <si>
    <t>ITEM 80</t>
  </si>
  <si>
    <t>ITEM 81</t>
  </si>
  <si>
    <t>ITEM 82</t>
  </si>
  <si>
    <t>ITEM 83</t>
  </si>
  <si>
    <t>ITEM 84</t>
  </si>
  <si>
    <t>ITEM 88</t>
  </si>
  <si>
    <t>ITEM 89</t>
  </si>
  <si>
    <t>ITEM 90</t>
  </si>
  <si>
    <t>ITEM 91</t>
  </si>
  <si>
    <t>ITEM 92</t>
  </si>
  <si>
    <t>ITEM 94</t>
  </si>
  <si>
    <t>ITEM 97</t>
  </si>
  <si>
    <t>ITEM 101</t>
  </si>
  <si>
    <t>ITEM 103</t>
  </si>
  <si>
    <t>ITEM 105</t>
  </si>
  <si>
    <t>ITEM 106</t>
  </si>
  <si>
    <t>ITEM 107</t>
  </si>
  <si>
    <t>ITEM 111</t>
  </si>
  <si>
    <t>ITEM 112</t>
  </si>
  <si>
    <t>ITEM 115</t>
  </si>
  <si>
    <t>ITEM 116</t>
  </si>
  <si>
    <t>ITEM 117</t>
  </si>
  <si>
    <t>ITEM 118</t>
  </si>
  <si>
    <t>ITEM 119</t>
  </si>
  <si>
    <t>ITEM 121</t>
  </si>
  <si>
    <t>ITEM 123</t>
  </si>
  <si>
    <t>ITEM 124</t>
  </si>
  <si>
    <t>ITEM 127</t>
  </si>
  <si>
    <t>ITEM 131</t>
  </si>
  <si>
    <t>ITEM 133</t>
  </si>
  <si>
    <t>ITEM 135</t>
  </si>
  <si>
    <t>ITEM 136</t>
  </si>
  <si>
    <t>ITEM 138</t>
  </si>
  <si>
    <t>ITEM 141</t>
  </si>
  <si>
    <t>ITEM 142</t>
  </si>
  <si>
    <t>ITEM 144</t>
  </si>
  <si>
    <t>ITEM 147</t>
  </si>
  <si>
    <t>ITEM 148</t>
  </si>
  <si>
    <t>ITEM 150</t>
  </si>
  <si>
    <t>ITEM 152</t>
  </si>
  <si>
    <t>ITEM 154</t>
  </si>
  <si>
    <t>ITEM 157</t>
  </si>
  <si>
    <t>ITEM 159</t>
  </si>
  <si>
    <t>ITEM 160</t>
  </si>
  <si>
    <t>ITEM 162</t>
  </si>
  <si>
    <t>ITEM 166</t>
  </si>
  <si>
    <t>ITEM 167</t>
  </si>
  <si>
    <t>ITEM 169</t>
  </si>
  <si>
    <t>ITEM 170</t>
  </si>
  <si>
    <t>ITEM 176</t>
  </si>
  <si>
    <t>ITEM 180</t>
  </si>
  <si>
    <t>ITEM 181</t>
  </si>
  <si>
    <t>ITEM 182</t>
  </si>
  <si>
    <t>ITEM 184</t>
  </si>
  <si>
    <t>ITEM 186</t>
  </si>
  <si>
    <t>ITEM 189</t>
  </si>
  <si>
    <t>ITEM 190</t>
  </si>
  <si>
    <t>ITEM 193</t>
  </si>
  <si>
    <t>ITEM 196</t>
  </si>
  <si>
    <t>ITEM 197</t>
  </si>
  <si>
    <t>ITEM 202</t>
  </si>
  <si>
    <t>ITEM 205</t>
  </si>
  <si>
    <t>ITEM 207</t>
  </si>
  <si>
    <t>ITEM 208</t>
  </si>
  <si>
    <t>ITEM 209</t>
  </si>
  <si>
    <t>ITEM 210</t>
  </si>
  <si>
    <t>ITEM 213</t>
  </si>
  <si>
    <t>ITEM 214</t>
  </si>
  <si>
    <t>ITEM 215</t>
  </si>
  <si>
    <t>ITEM 219</t>
  </si>
  <si>
    <t>ITEM 220</t>
  </si>
  <si>
    <t>ITEM 232</t>
  </si>
  <si>
    <t>ITEM 233</t>
  </si>
  <si>
    <t>ITEM 237</t>
  </si>
  <si>
    <t>ITEM 239</t>
  </si>
  <si>
    <t>ITEM 240</t>
  </si>
  <si>
    <t>ITEM 241</t>
  </si>
  <si>
    <t>ITEM 243</t>
  </si>
  <si>
    <t>ITEM 248</t>
  </si>
  <si>
    <t>ITEM 253</t>
  </si>
  <si>
    <t>ITEM 258</t>
  </si>
  <si>
    <t>ITEM 260</t>
  </si>
  <si>
    <t>ITEM 261</t>
  </si>
  <si>
    <t>ITEM 265</t>
  </si>
  <si>
    <t>ITEM 268</t>
  </si>
  <si>
    <t>ITEM 270</t>
  </si>
  <si>
    <t>ITEM 271</t>
  </si>
  <si>
    <t>ITEM 275</t>
  </si>
  <si>
    <t>ITEM 276</t>
  </si>
  <si>
    <t>ITEM 278</t>
  </si>
  <si>
    <t>ITEM 279</t>
  </si>
  <si>
    <t>ITEM 280</t>
  </si>
  <si>
    <t>ITEM 281</t>
  </si>
  <si>
    <t>ITEM 282</t>
  </si>
  <si>
    <t>ITEM 288</t>
  </si>
  <si>
    <t>ITEM 289</t>
  </si>
  <si>
    <t>ITEM 291</t>
  </si>
  <si>
    <t>ITEM 292</t>
  </si>
  <si>
    <t>ITEM 294</t>
  </si>
  <si>
    <t>ITEM 295</t>
  </si>
  <si>
    <t>ITEM 296</t>
  </si>
  <si>
    <t>ITEM 297</t>
  </si>
  <si>
    <t>ITEM 298</t>
  </si>
  <si>
    <t>ITEM 302</t>
  </si>
  <si>
    <t>ITEM 303</t>
  </si>
  <si>
    <t>ITEM 307</t>
  </si>
  <si>
    <t>ITEM 309</t>
  </si>
  <si>
    <t>ITEM 310</t>
  </si>
  <si>
    <t>ITEM 316</t>
  </si>
  <si>
    <t>ITEM 327</t>
  </si>
  <si>
    <t>ITEM 329</t>
  </si>
  <si>
    <t>ITEM 332</t>
  </si>
  <si>
    <t>ITEM 337</t>
  </si>
  <si>
    <t>ITEM 338</t>
  </si>
  <si>
    <t>ITEM 341</t>
  </si>
  <si>
    <t>ITEM 346</t>
  </si>
  <si>
    <t>ITEM 351</t>
  </si>
  <si>
    <t>ITEM 353</t>
  </si>
  <si>
    <t>ITEM 356</t>
  </si>
  <si>
    <t>ITEM 357</t>
  </si>
  <si>
    <t>ITEM 359</t>
  </si>
  <si>
    <t>ITEM 360</t>
  </si>
  <si>
    <t>ITEM 364</t>
  </si>
  <si>
    <t>ITEM 366</t>
  </si>
  <si>
    <t>ITEM 370</t>
  </si>
  <si>
    <t>ITEM 372</t>
  </si>
  <si>
    <t>ITEM 373</t>
  </si>
  <si>
    <t>ITEM 376</t>
  </si>
  <si>
    <t>ITEM 377</t>
  </si>
  <si>
    <t>ITEM 379</t>
  </si>
  <si>
    <t>ITEM 380</t>
  </si>
  <si>
    <t>ITEM 382</t>
  </si>
  <si>
    <t>ITEM 384</t>
  </si>
  <si>
    <t>ITEM 385</t>
  </si>
  <si>
    <t>ITEM 387</t>
  </si>
  <si>
    <t>ITEM 389</t>
  </si>
  <si>
    <t>ITEM 395</t>
  </si>
  <si>
    <t>ITEM 397</t>
  </si>
  <si>
    <t>ITEM 402</t>
  </si>
  <si>
    <t>ITEM 403</t>
  </si>
  <si>
    <t>ITEM 404</t>
  </si>
  <si>
    <t>ITEM 408</t>
  </si>
  <si>
    <t>ITEM 410</t>
  </si>
  <si>
    <t>ITEM 414</t>
  </si>
  <si>
    <t>ITEM 418</t>
  </si>
  <si>
    <t>ITEM 424</t>
  </si>
  <si>
    <t>ITEM 426</t>
  </si>
  <si>
    <t>ITEM 427</t>
  </si>
  <si>
    <t>ITEM 429</t>
  </si>
  <si>
    <t>ITEM 431</t>
  </si>
  <si>
    <t>ITEM 434</t>
  </si>
  <si>
    <t>ITEM 435</t>
  </si>
  <si>
    <t>ITEM 436</t>
  </si>
  <si>
    <t>ITEM 445</t>
  </si>
  <si>
    <t>ITEM 449</t>
  </si>
  <si>
    <t>ITEM 453</t>
  </si>
  <si>
    <t>ITEM 460</t>
  </si>
  <si>
    <t>ITEM 462</t>
  </si>
  <si>
    <t>ITEM 463</t>
  </si>
  <si>
    <t>ITEM 473</t>
  </si>
  <si>
    <t>ITEM 477</t>
  </si>
  <si>
    <t>ITEM 479</t>
  </si>
  <si>
    <t>ITEM 485</t>
  </si>
  <si>
    <t>ITEM 486</t>
  </si>
  <si>
    <t>ITEM 487</t>
  </si>
  <si>
    <t>ITEM 488</t>
  </si>
  <si>
    <t>ITEM 490</t>
  </si>
  <si>
    <t>ITEM 491</t>
  </si>
  <si>
    <t>ITEM 493</t>
  </si>
  <si>
    <t>ITEM 494</t>
  </si>
  <si>
    <t>ITEM 499</t>
  </si>
  <si>
    <t>ITEM 502</t>
  </si>
  <si>
    <t>ITEM 504</t>
  </si>
  <si>
    <t>ITEM 510</t>
  </si>
  <si>
    <t>ITEM 514</t>
  </si>
  <si>
    <t>ITEM 515</t>
  </si>
  <si>
    <t>ITEM 516</t>
  </si>
  <si>
    <t>ITEM 519</t>
  </si>
  <si>
    <t>ITEM 524</t>
  </si>
  <si>
    <t>ITEM 528</t>
  </si>
  <si>
    <t>ITEM 529</t>
  </si>
  <si>
    <t>ITEM 538</t>
  </si>
  <si>
    <t>ITEM 543</t>
  </si>
  <si>
    <t>ITEM 547</t>
  </si>
  <si>
    <t>ITEM 577</t>
  </si>
  <si>
    <t>ITEM 581</t>
  </si>
  <si>
    <t>ITEM 582</t>
  </si>
  <si>
    <t>ITEM 583</t>
  </si>
  <si>
    <t>ITEM 584</t>
  </si>
  <si>
    <t>ITEM 595</t>
  </si>
  <si>
    <t>ITEM 596</t>
  </si>
  <si>
    <t>ITEM 601</t>
  </si>
  <si>
    <t>ITEM 602</t>
  </si>
  <si>
    <t>ITEM 604</t>
  </si>
  <si>
    <t>ITEM 623</t>
  </si>
  <si>
    <t>ITEM 641</t>
  </si>
  <si>
    <t>ITEM 651</t>
  </si>
  <si>
    <t>ITEM 661</t>
  </si>
  <si>
    <t>ITEM 664</t>
  </si>
  <si>
    <t>ITEM 671</t>
  </si>
  <si>
    <t>ITEM 675</t>
  </si>
  <si>
    <t>ITEM 676</t>
  </si>
  <si>
    <t>ITEM 681</t>
  </si>
  <si>
    <t>ITEM 685</t>
  </si>
  <si>
    <t>ITEM 689</t>
  </si>
  <si>
    <t>ITEM 691</t>
  </si>
  <si>
    <t>ITEM 692</t>
  </si>
  <si>
    <t>ITEM 693</t>
  </si>
  <si>
    <t>ITEM 696</t>
  </si>
  <si>
    <t>ITEM 709</t>
  </si>
  <si>
    <t>ITEM 713</t>
  </si>
  <si>
    <t>ITEM 715</t>
  </si>
  <si>
    <t>ITEM 718</t>
  </si>
  <si>
    <t>ITEM 719</t>
  </si>
  <si>
    <t>ITEM 721</t>
  </si>
  <si>
    <t>ITEM 729</t>
  </si>
  <si>
    <t>ITEM 734</t>
  </si>
  <si>
    <t>ITEM 743</t>
  </si>
  <si>
    <t>ITEM 745</t>
  </si>
  <si>
    <t>ITEM 748</t>
  </si>
  <si>
    <t>ITEM 767</t>
  </si>
  <si>
    <t>ITEM 781</t>
  </si>
  <si>
    <t>ITEM 782</t>
  </si>
  <si>
    <t>ITEM 783</t>
  </si>
  <si>
    <t>ITEM 804</t>
  </si>
  <si>
    <t>ITEM 808</t>
  </si>
  <si>
    <t>ITEM 809</t>
  </si>
  <si>
    <t>ITEM 816</t>
  </si>
  <si>
    <t>ITEM 818</t>
  </si>
  <si>
    <t>ITEM 825</t>
  </si>
  <si>
    <t>ITEM 833</t>
  </si>
  <si>
    <t>ITEM 838</t>
  </si>
  <si>
    <t>ITEM 839</t>
  </si>
  <si>
    <t>ITEM 847</t>
  </si>
  <si>
    <t>ITEM 850</t>
  </si>
  <si>
    <t>ITEM 863</t>
  </si>
  <si>
    <t>ITEM 870</t>
  </si>
  <si>
    <t>ITEM 871</t>
  </si>
  <si>
    <t>ITEM 886</t>
  </si>
  <si>
    <t>ITEM 887</t>
  </si>
  <si>
    <t>ITEM 894</t>
  </si>
  <si>
    <t>ITEM 897</t>
  </si>
  <si>
    <t>ITEM 916</t>
  </si>
  <si>
    <t>ITEM 931</t>
  </si>
  <si>
    <t>ITEM 937</t>
  </si>
  <si>
    <t>ITEM 938</t>
  </si>
  <si>
    <t>ITEM 940</t>
  </si>
  <si>
    <t>ITEM 945</t>
  </si>
  <si>
    <t>ITEM 946</t>
  </si>
  <si>
    <t>ITEM 983</t>
  </si>
  <si>
    <t>NO NAME</t>
  </si>
  <si>
    <t>BER108</t>
  </si>
  <si>
    <t>BER000</t>
  </si>
  <si>
    <t>BER612</t>
  </si>
  <si>
    <t>BER765</t>
  </si>
  <si>
    <t>8000000000002</t>
  </si>
  <si>
    <t>8000000000003</t>
  </si>
  <si>
    <t>8000000000004</t>
  </si>
  <si>
    <t>8000000000005</t>
  </si>
  <si>
    <t>8000000000006</t>
  </si>
  <si>
    <t>8000000000007</t>
  </si>
  <si>
    <t>8000000000008</t>
  </si>
  <si>
    <t>8000000000009</t>
  </si>
  <si>
    <t>8000000000010</t>
  </si>
  <si>
    <t>8000000000011</t>
  </si>
  <si>
    <t>8000000000014</t>
  </si>
  <si>
    <t>8000000000015</t>
  </si>
  <si>
    <t>8000000000016</t>
  </si>
  <si>
    <t>8000000000017</t>
  </si>
  <si>
    <t>8000000000018</t>
  </si>
  <si>
    <t>8000000000019</t>
  </si>
  <si>
    <t>8000000000020</t>
  </si>
  <si>
    <t>8000000000021</t>
  </si>
  <si>
    <t>8000000000022</t>
  </si>
  <si>
    <t>8000000000023</t>
  </si>
  <si>
    <t>8000000000024</t>
  </si>
  <si>
    <t>8000000000025</t>
  </si>
  <si>
    <t>8000000000026</t>
  </si>
  <si>
    <t>8000000000028</t>
  </si>
  <si>
    <t>8000000000029</t>
  </si>
  <si>
    <t>8000000000030</t>
  </si>
  <si>
    <t>8000000000031</t>
  </si>
  <si>
    <t>8000000000034</t>
  </si>
  <si>
    <t>8000000000036</t>
  </si>
  <si>
    <t>8000000000037</t>
  </si>
  <si>
    <t>8000000000038</t>
  </si>
  <si>
    <t>8000000000039</t>
  </si>
  <si>
    <t>8000000000040</t>
  </si>
  <si>
    <t>8000000000042</t>
  </si>
  <si>
    <t>8000000000043</t>
  </si>
  <si>
    <t>8000000000044</t>
  </si>
  <si>
    <t>8000000000045</t>
  </si>
  <si>
    <t>8000000000046</t>
  </si>
  <si>
    <t>8000000000047</t>
  </si>
  <si>
    <t>8000000000048</t>
  </si>
  <si>
    <t>8000000000049</t>
  </si>
  <si>
    <t>8000000000050</t>
  </si>
  <si>
    <t>8000000000052</t>
  </si>
  <si>
    <t>8000000000053</t>
  </si>
  <si>
    <t>8000000000054</t>
  </si>
  <si>
    <t>8000000000057</t>
  </si>
  <si>
    <t>8000000000058</t>
  </si>
  <si>
    <t>8000000000059</t>
  </si>
  <si>
    <t>8000000000061</t>
  </si>
  <si>
    <t>8000000000062</t>
  </si>
  <si>
    <t>8000000000063</t>
  </si>
  <si>
    <t>8000000000065</t>
  </si>
  <si>
    <t>8000000000066</t>
  </si>
  <si>
    <t>8000000000067</t>
  </si>
  <si>
    <t>8000000000068</t>
  </si>
  <si>
    <t>8000000000070</t>
  </si>
  <si>
    <t>8000000000071</t>
  </si>
  <si>
    <t>8000000000073</t>
  </si>
  <si>
    <t>8000000000074</t>
  </si>
  <si>
    <t>8000000000075</t>
  </si>
  <si>
    <t>8000000000077</t>
  </si>
  <si>
    <t>8000000000078</t>
  </si>
  <si>
    <t>8000000000079</t>
  </si>
  <si>
    <t>8000000000080</t>
  </si>
  <si>
    <t>8000000000081</t>
  </si>
  <si>
    <t>8000000000082</t>
  </si>
  <si>
    <t>8000000000083</t>
  </si>
  <si>
    <t>8000000000084</t>
  </si>
  <si>
    <t>8000000000088</t>
  </si>
  <si>
    <t>8000000000089</t>
  </si>
  <si>
    <t>8000000000090</t>
  </si>
  <si>
    <t>8000000000091</t>
  </si>
  <si>
    <t>8000000000092</t>
  </si>
  <si>
    <t>8000000000094</t>
  </si>
  <si>
    <t>8000000000097</t>
  </si>
  <si>
    <t>8000000000101</t>
  </si>
  <si>
    <t>8000000000103</t>
  </si>
  <si>
    <t>8000000000105</t>
  </si>
  <si>
    <t>8000000000106</t>
  </si>
  <si>
    <t>8000000000107</t>
  </si>
  <si>
    <t>8000000000111</t>
  </si>
  <si>
    <t>8000000000112</t>
  </si>
  <si>
    <t>8000000000115</t>
  </si>
  <si>
    <t>8000000000116</t>
  </si>
  <si>
    <t>8000000000117</t>
  </si>
  <si>
    <t>8000000000118</t>
  </si>
  <si>
    <t>8000000000119</t>
  </si>
  <si>
    <t>8000000000121</t>
  </si>
  <si>
    <t>8000000000123</t>
  </si>
  <si>
    <t>8000000000124</t>
  </si>
  <si>
    <t>8000000000127</t>
  </si>
  <si>
    <t>8000000000131</t>
  </si>
  <si>
    <t>8000000000133</t>
  </si>
  <si>
    <t>8000000000135</t>
  </si>
  <si>
    <t>8000000000136</t>
  </si>
  <si>
    <t>8000000000138</t>
  </si>
  <si>
    <t>8000000000141</t>
  </si>
  <si>
    <t>8000000000142</t>
  </si>
  <si>
    <t>8000000000144</t>
  </si>
  <si>
    <t>8000000000147</t>
  </si>
  <si>
    <t>8000000000148</t>
  </si>
  <si>
    <t>8000000000150</t>
  </si>
  <si>
    <t>8000000000152</t>
  </si>
  <si>
    <t>8000000000154</t>
  </si>
  <si>
    <t>8000000000157</t>
  </si>
  <si>
    <t>8000000000159</t>
  </si>
  <si>
    <t>8000000000160</t>
  </si>
  <si>
    <t>8000000000162</t>
  </si>
  <si>
    <t>8000000000166</t>
  </si>
  <si>
    <t>8000000000167</t>
  </si>
  <si>
    <t>8000000000169</t>
  </si>
  <si>
    <t>8000000000170</t>
  </si>
  <si>
    <t>8000000000176</t>
  </si>
  <si>
    <t>8000000000180</t>
  </si>
  <si>
    <t>8000000000181</t>
  </si>
  <si>
    <t>8000000000182</t>
  </si>
  <si>
    <t>8000000000184</t>
  </si>
  <si>
    <t>8000000000186</t>
  </si>
  <si>
    <t>8000000000189</t>
  </si>
  <si>
    <t>8000000000190</t>
  </si>
  <si>
    <t>8000000000193</t>
  </si>
  <si>
    <t>8000000000196</t>
  </si>
  <si>
    <t>8000000000197</t>
  </si>
  <si>
    <t>8000000000202</t>
  </si>
  <si>
    <t>8000000000205</t>
  </si>
  <si>
    <t>8000000000207</t>
  </si>
  <si>
    <t>8000000000208</t>
  </si>
  <si>
    <t>8000000000209</t>
  </si>
  <si>
    <t>8000000000210</t>
  </si>
  <si>
    <t>8000000000213</t>
  </si>
  <si>
    <t>8000000000214</t>
  </si>
  <si>
    <t>8000000000215</t>
  </si>
  <si>
    <t>8000000000219</t>
  </si>
  <si>
    <t>8000000000220</t>
  </si>
  <si>
    <t>8000000000226</t>
  </si>
  <si>
    <t>8000000000232</t>
  </si>
  <si>
    <t>8000000000233</t>
  </si>
  <si>
    <t>8000000000237</t>
  </si>
  <si>
    <t>8000000000239</t>
  </si>
  <si>
    <t>8000000000240</t>
  </si>
  <si>
    <t>8000000000241</t>
  </si>
  <si>
    <t>8000000000243</t>
  </si>
  <si>
    <t>8000000000248</t>
  </si>
  <si>
    <t>8000000000253</t>
  </si>
  <si>
    <t>8000000000258</t>
  </si>
  <si>
    <t>8000000000260</t>
  </si>
  <si>
    <t>8000000000261</t>
  </si>
  <si>
    <t>8000000000265</t>
  </si>
  <si>
    <t>8000000000268</t>
  </si>
  <si>
    <t>8000000000270</t>
  </si>
  <si>
    <t>8000000000271</t>
  </si>
  <si>
    <t>8000000000275</t>
  </si>
  <si>
    <t>8000000000276</t>
  </si>
  <si>
    <t>8000000000278</t>
  </si>
  <si>
    <t>8000000000279</t>
  </si>
  <si>
    <t>8000000000280</t>
  </si>
  <si>
    <t>8000000000281</t>
  </si>
  <si>
    <t>8000000000282</t>
  </si>
  <si>
    <t>8000000000288</t>
  </si>
  <si>
    <t>8000000000289</t>
  </si>
  <si>
    <t>8000000000291</t>
  </si>
  <si>
    <t>8000000000292</t>
  </si>
  <si>
    <t>8000000000294</t>
  </si>
  <si>
    <t>8000000000295</t>
  </si>
  <si>
    <t>8000000000296</t>
  </si>
  <si>
    <t>8000000000297</t>
  </si>
  <si>
    <t>8000000000298</t>
  </si>
  <si>
    <t>8000000000302</t>
  </si>
  <si>
    <t>8000000000303</t>
  </si>
  <si>
    <t>8000000000307</t>
  </si>
  <si>
    <t>8000000000309</t>
  </si>
  <si>
    <t>8000000000310</t>
  </si>
  <si>
    <t>8000000000316</t>
  </si>
  <si>
    <t>8000000000327</t>
  </si>
  <si>
    <t>8000000000329</t>
  </si>
  <si>
    <t>8000000000332</t>
  </si>
  <si>
    <t>8000000000337</t>
  </si>
  <si>
    <t>8000000000338</t>
  </si>
  <si>
    <t>8000000000341</t>
  </si>
  <si>
    <t>8000000000346</t>
  </si>
  <si>
    <t>8000000000351</t>
  </si>
  <si>
    <t>8000000000353</t>
  </si>
  <si>
    <t>8000000000356</t>
  </si>
  <si>
    <t>8000000000357</t>
  </si>
  <si>
    <t>8000000000359</t>
  </si>
  <si>
    <t>8000000000360</t>
  </si>
  <si>
    <t>8000000000364</t>
  </si>
  <si>
    <t>8000000000366</t>
  </si>
  <si>
    <t>8000000000367</t>
  </si>
  <si>
    <t>8000000000370</t>
  </si>
  <si>
    <t>8000000000372</t>
  </si>
  <si>
    <t>8000000000373</t>
  </si>
  <si>
    <t>8000000000376</t>
  </si>
  <si>
    <t>8000000000377</t>
  </si>
  <si>
    <t>8000000000379</t>
  </si>
  <si>
    <t>8000000000380</t>
  </si>
  <si>
    <t>8000000000382</t>
  </si>
  <si>
    <t>8000000000384</t>
  </si>
  <si>
    <t>8000000000385</t>
  </si>
  <si>
    <t>8000000000387</t>
  </si>
  <si>
    <t>8000000000389</t>
  </si>
  <si>
    <t>8000000000395</t>
  </si>
  <si>
    <t>8000000000397</t>
  </si>
  <si>
    <t>8000000000402</t>
  </si>
  <si>
    <t>8000000000403</t>
  </si>
  <si>
    <t>8000000000404</t>
  </si>
  <si>
    <t>8000000000406</t>
  </si>
  <si>
    <t>8000000000408</t>
  </si>
  <si>
    <t>8000000000410</t>
  </si>
  <si>
    <t>8000000000414</t>
  </si>
  <si>
    <t>8000000000418</t>
  </si>
  <si>
    <t>8000000000424</t>
  </si>
  <si>
    <t>8000000000426</t>
  </si>
  <si>
    <t>8000000000427</t>
  </si>
  <si>
    <t>8000000000429</t>
  </si>
  <si>
    <t>8000000000431</t>
  </si>
  <si>
    <t>8000000000434</t>
  </si>
  <si>
    <t>8000000000435</t>
  </si>
  <si>
    <t>8000000000436</t>
  </si>
  <si>
    <t>8000000000445</t>
  </si>
  <si>
    <t>8000000000449</t>
  </si>
  <si>
    <t>8000000000453</t>
  </si>
  <si>
    <t>8000000000460</t>
  </si>
  <si>
    <t>8000000000462</t>
  </si>
  <si>
    <t>8000000000463</t>
  </si>
  <si>
    <t>8000000000473</t>
  </si>
  <si>
    <t>8000000000477</t>
  </si>
  <si>
    <t>8000000000479</t>
  </si>
  <si>
    <t>8000000000485</t>
  </si>
  <si>
    <t>8000000000486</t>
  </si>
  <si>
    <t>8000000000487</t>
  </si>
  <si>
    <t>8000000000488</t>
  </si>
  <si>
    <t>8000000000490</t>
  </si>
  <si>
    <t>8000000000491</t>
  </si>
  <si>
    <t>8000000000493</t>
  </si>
  <si>
    <t>8000000000494</t>
  </si>
  <si>
    <t>8000000000499</t>
  </si>
  <si>
    <t>8000000000502</t>
  </si>
  <si>
    <t>8000000000504</t>
  </si>
  <si>
    <t>8000000000510</t>
  </si>
  <si>
    <t>8000000000513</t>
  </si>
  <si>
    <t>8000000000514</t>
  </si>
  <si>
    <t>8000000000515</t>
  </si>
  <si>
    <t>8000000000516</t>
  </si>
  <si>
    <t>8000000000519</t>
  </si>
  <si>
    <t>8000000000524</t>
  </si>
  <si>
    <t>8000000000528</t>
  </si>
  <si>
    <t>8000000000529</t>
  </si>
  <si>
    <t>8000000000538</t>
  </si>
  <si>
    <t>8000000000543</t>
  </si>
  <si>
    <t>8000000000547</t>
  </si>
  <si>
    <t>8000000000577</t>
  </si>
  <si>
    <t>8000000000581</t>
  </si>
  <si>
    <t>8000000000582</t>
  </si>
  <si>
    <t>8000000000583</t>
  </si>
  <si>
    <t>8000000000584</t>
  </si>
  <si>
    <t>8000000000595</t>
  </si>
  <si>
    <t>8000000000596</t>
  </si>
  <si>
    <t>8000000000601</t>
  </si>
  <si>
    <t>8000000000602</t>
  </si>
  <si>
    <t>8000000000604</t>
  </si>
  <si>
    <t>8000000000623</t>
  </si>
  <si>
    <t>8000000000641</t>
  </si>
  <si>
    <t>8000000000651</t>
  </si>
  <si>
    <t>8000000000661</t>
  </si>
  <si>
    <t>8000000000664</t>
  </si>
  <si>
    <t>8000000000671</t>
  </si>
  <si>
    <t>8000000000675</t>
  </si>
  <si>
    <t>8000000000676</t>
  </si>
  <si>
    <t>8000000000681</t>
  </si>
  <si>
    <t>8000000000685</t>
  </si>
  <si>
    <t>8000000000689</t>
  </si>
  <si>
    <t>8000000000691</t>
  </si>
  <si>
    <t>8000000000692</t>
  </si>
  <si>
    <t>8000000000693</t>
  </si>
  <si>
    <t>8000000000696</t>
  </si>
  <si>
    <t>8000000000709</t>
  </si>
  <si>
    <t>8000000000713</t>
  </si>
  <si>
    <t>8000000000715</t>
  </si>
  <si>
    <t>8000000000718</t>
  </si>
  <si>
    <t>8000000000719</t>
  </si>
  <si>
    <t>8000000000721</t>
  </si>
  <si>
    <t>8000000000729</t>
  </si>
  <si>
    <t>8000000000734</t>
  </si>
  <si>
    <t>8000000000743</t>
  </si>
  <si>
    <t>8000000000745</t>
  </si>
  <si>
    <t>8000000000748</t>
  </si>
  <si>
    <t>8000000000767</t>
  </si>
  <si>
    <t>8000000000781</t>
  </si>
  <si>
    <t>8000000000782</t>
  </si>
  <si>
    <t>8000000000783</t>
  </si>
  <si>
    <t>8000000000800</t>
  </si>
  <si>
    <t>8000000000804</t>
  </si>
  <si>
    <t>8000000000808</t>
  </si>
  <si>
    <t>8000000000809</t>
  </si>
  <si>
    <t>8000000000816</t>
  </si>
  <si>
    <t>8000000000818</t>
  </si>
  <si>
    <t>8000000000825</t>
  </si>
  <si>
    <t>8000000000833</t>
  </si>
  <si>
    <t>8000000000838</t>
  </si>
  <si>
    <t>8000000000839</t>
  </si>
  <si>
    <t>8000000000847</t>
  </si>
  <si>
    <t>8000000000850</t>
  </si>
  <si>
    <t>8000000000863</t>
  </si>
  <si>
    <t>8000000000870</t>
  </si>
  <si>
    <t>8000000000871</t>
  </si>
  <si>
    <t>8000000000874</t>
  </si>
  <si>
    <t>8000000000886</t>
  </si>
  <si>
    <t>8000000000887</t>
  </si>
  <si>
    <t>8000000000894</t>
  </si>
  <si>
    <t>8000000000897</t>
  </si>
  <si>
    <t>8000000000916</t>
  </si>
  <si>
    <t>8000000000931</t>
  </si>
  <si>
    <t>8000000000937</t>
  </si>
  <si>
    <t>8000000000938</t>
  </si>
  <si>
    <t>8000000000940</t>
  </si>
  <si>
    <t>8000000000945</t>
  </si>
  <si>
    <t>8000000000946</t>
  </si>
  <si>
    <t>8000000000983</t>
  </si>
  <si>
    <t>AA</t>
  </si>
  <si>
    <t>9000000000001</t>
  </si>
  <si>
    <t>9000000000002</t>
  </si>
  <si>
    <t>9000000000003</t>
  </si>
  <si>
    <t>9000000000004</t>
  </si>
  <si>
    <t>9000000000005</t>
  </si>
  <si>
    <t>9000000000006</t>
  </si>
  <si>
    <t>9000000000008</t>
  </si>
  <si>
    <t>9000000000010</t>
  </si>
  <si>
    <t>9000000000011</t>
  </si>
  <si>
    <t>9000000000016</t>
  </si>
  <si>
    <t>9000000000017</t>
  </si>
  <si>
    <t>9000000000018</t>
  </si>
  <si>
    <t>9000000000019</t>
  </si>
  <si>
    <t>9000000000020</t>
  </si>
  <si>
    <t>9000000000021</t>
  </si>
  <si>
    <t>9000000000022</t>
  </si>
  <si>
    <t>9000000000024</t>
  </si>
  <si>
    <t>9000000000025</t>
  </si>
  <si>
    <t>9000000000026</t>
  </si>
  <si>
    <t>9000000000029</t>
  </si>
  <si>
    <t>9000000000034</t>
  </si>
  <si>
    <t>9000000000035</t>
  </si>
  <si>
    <t>9000000000036</t>
  </si>
  <si>
    <t>9000000000038</t>
  </si>
  <si>
    <t>9000000000039</t>
  </si>
  <si>
    <t>9000000000040</t>
  </si>
  <si>
    <t>9000000000043</t>
  </si>
  <si>
    <t>9000000000044</t>
  </si>
  <si>
    <t>9000000000045</t>
  </si>
  <si>
    <t>9000000000046</t>
  </si>
  <si>
    <t>9000000000047</t>
  </si>
  <si>
    <t>9000000000049</t>
  </si>
  <si>
    <t>9000000000050</t>
  </si>
  <si>
    <t>9000000000051</t>
  </si>
  <si>
    <t>9000000000059</t>
  </si>
  <si>
    <t>9000000000061</t>
  </si>
  <si>
    <t>9000000000062</t>
  </si>
  <si>
    <t>9000000000063</t>
  </si>
  <si>
    <t>9000000000065</t>
  </si>
  <si>
    <t>9000000000066</t>
  </si>
  <si>
    <t>9000000000068</t>
  </si>
  <si>
    <t>9000000000069</t>
  </si>
  <si>
    <t>9000000000071</t>
  </si>
  <si>
    <t>9000000000073</t>
  </si>
  <si>
    <t>9000000000075</t>
  </si>
  <si>
    <t>9000000000077</t>
  </si>
  <si>
    <t>9000000000078</t>
  </si>
  <si>
    <t>9000000000079</t>
  </si>
  <si>
    <t>9000000000081</t>
  </si>
  <si>
    <t>9000000000082</t>
  </si>
  <si>
    <t>9000000000083</t>
  </si>
  <si>
    <t>9000000000087</t>
  </si>
  <si>
    <t>9000000000088</t>
  </si>
  <si>
    <t>9000000000091</t>
  </si>
  <si>
    <t>9000000000095</t>
  </si>
  <si>
    <t>9000000000098</t>
  </si>
  <si>
    <t>9000000000101</t>
  </si>
  <si>
    <t>9000000000103</t>
  </si>
  <si>
    <t>9000000000107</t>
  </si>
  <si>
    <t>9000000000109</t>
  </si>
  <si>
    <t>9000000000111</t>
  </si>
  <si>
    <t>9000000000112</t>
  </si>
  <si>
    <t>9000000000113</t>
  </si>
  <si>
    <t>9000000000115</t>
  </si>
  <si>
    <t>9000000000118</t>
  </si>
  <si>
    <t>9000000000119</t>
  </si>
  <si>
    <t>9000000000121</t>
  </si>
  <si>
    <t>9000000000123</t>
  </si>
  <si>
    <t>9000000000126</t>
  </si>
  <si>
    <t>9000000000128</t>
  </si>
  <si>
    <t>9000000000134</t>
  </si>
  <si>
    <t>9000000000139</t>
  </si>
  <si>
    <t>9000000000140</t>
  </si>
  <si>
    <t>9000000000141</t>
  </si>
  <si>
    <t>9000000000142</t>
  </si>
  <si>
    <t>9000000000144</t>
  </si>
  <si>
    <t>9000000000145</t>
  </si>
  <si>
    <t>9000000000147</t>
  </si>
  <si>
    <t>9000000000148</t>
  </si>
  <si>
    <t>9000000000149</t>
  </si>
  <si>
    <t>9000000000152</t>
  </si>
  <si>
    <t>9000000000154</t>
  </si>
  <si>
    <t>9000000000156</t>
  </si>
  <si>
    <t>9000000000157</t>
  </si>
  <si>
    <t>9000000000160</t>
  </si>
  <si>
    <t>9000000000162</t>
  </si>
  <si>
    <t>9000000000163</t>
  </si>
  <si>
    <t>9000000000167</t>
  </si>
  <si>
    <t>9000000000170</t>
  </si>
  <si>
    <t>9000000000171</t>
  </si>
  <si>
    <t>9000000000173</t>
  </si>
  <si>
    <t>9000000000176</t>
  </si>
  <si>
    <t>9000000000177</t>
  </si>
  <si>
    <t>9000000000180</t>
  </si>
  <si>
    <t>9000000000182</t>
  </si>
  <si>
    <t>9000000000183</t>
  </si>
  <si>
    <t>9000000000184</t>
  </si>
  <si>
    <t>9000000000186</t>
  </si>
  <si>
    <t>9000000000189</t>
  </si>
  <si>
    <t>9000000000190</t>
  </si>
  <si>
    <t>9000000000193</t>
  </si>
  <si>
    <t>9000000000199</t>
  </si>
  <si>
    <t>9000000000202</t>
  </si>
  <si>
    <t>9000000000204</t>
  </si>
  <si>
    <t>9000000000206</t>
  </si>
  <si>
    <t>9000000000207</t>
  </si>
  <si>
    <t>9000000000209</t>
  </si>
  <si>
    <t>9000000000210</t>
  </si>
  <si>
    <t>9000000000211</t>
  </si>
  <si>
    <t>9000000000213</t>
  </si>
  <si>
    <t>9000000000214</t>
  </si>
  <si>
    <t>9000000000217</t>
  </si>
  <si>
    <t>9000000000218</t>
  </si>
  <si>
    <t>9000000000219</t>
  </si>
  <si>
    <t>9000000000220</t>
  </si>
  <si>
    <t>9000000000221</t>
  </si>
  <si>
    <t>9000000000225</t>
  </si>
  <si>
    <t>9000000000232</t>
  </si>
  <si>
    <t>9000000000239</t>
  </si>
  <si>
    <t>9000000000240</t>
  </si>
  <si>
    <t>9000000000242</t>
  </si>
  <si>
    <t>9000000000243</t>
  </si>
  <si>
    <t>9000000000244</t>
  </si>
  <si>
    <t>9000000000247</t>
  </si>
  <si>
    <t>9000000000250</t>
  </si>
  <si>
    <t>9000000000251</t>
  </si>
  <si>
    <t>9000000000252</t>
  </si>
  <si>
    <t>9000000000253</t>
  </si>
  <si>
    <t>9000000000258</t>
  </si>
  <si>
    <t>9000000000259</t>
  </si>
  <si>
    <t>9000000000260</t>
  </si>
  <si>
    <t>9000000000261</t>
  </si>
  <si>
    <t>9000000000263</t>
  </si>
  <si>
    <t>9000000000264</t>
  </si>
  <si>
    <t>9000000000271</t>
  </si>
  <si>
    <t>9000000000272</t>
  </si>
  <si>
    <t>9000000000276</t>
  </si>
  <si>
    <t>9000000000277</t>
  </si>
  <si>
    <t>9000000000279</t>
  </si>
  <si>
    <t>9000000000284</t>
  </si>
  <si>
    <t>9000000000288</t>
  </si>
  <si>
    <t>9000000000290</t>
  </si>
  <si>
    <t>9000000000294</t>
  </si>
  <si>
    <t>9000000000297</t>
  </si>
  <si>
    <t>9000000000299</t>
  </si>
  <si>
    <t>9000000000301</t>
  </si>
  <si>
    <t>9000000000302</t>
  </si>
  <si>
    <t>9000000000303</t>
  </si>
  <si>
    <t>9000000000304</t>
  </si>
  <si>
    <t>9000000000309</t>
  </si>
  <si>
    <t>9000000000313</t>
  </si>
  <si>
    <t>9000000000317</t>
  </si>
  <si>
    <t>9000000000323</t>
  </si>
  <si>
    <t>9000000000324</t>
  </si>
  <si>
    <t>9000000000325</t>
  </si>
  <si>
    <t>9000000000327</t>
  </si>
  <si>
    <t>9000000000329</t>
  </si>
  <si>
    <t>9000000000330</t>
  </si>
  <si>
    <t>9000000000331</t>
  </si>
  <si>
    <t>9000000000333</t>
  </si>
  <si>
    <t>9000000000335</t>
  </si>
  <si>
    <t>9000000000336</t>
  </si>
  <si>
    <t>9000000000338</t>
  </si>
  <si>
    <t>9000000000345</t>
  </si>
  <si>
    <t>9000000000347</t>
  </si>
  <si>
    <t>9000000000356</t>
  </si>
  <si>
    <t>9000000000363</t>
  </si>
  <si>
    <t>9000000000367</t>
  </si>
  <si>
    <t>9000000000370</t>
  </si>
  <si>
    <t>9000000000371</t>
  </si>
  <si>
    <t>9000000000377</t>
  </si>
  <si>
    <t>9000000000381</t>
  </si>
  <si>
    <t>9000000000382</t>
  </si>
  <si>
    <t>9000000000385</t>
  </si>
  <si>
    <t>9000000000389</t>
  </si>
  <si>
    <t>9000000000390</t>
  </si>
  <si>
    <t>9000000000391</t>
  </si>
  <si>
    <t>9000000000395</t>
  </si>
  <si>
    <t>9000000000400</t>
  </si>
  <si>
    <t>9000000000402</t>
  </si>
  <si>
    <t>9000000000403</t>
  </si>
  <si>
    <t>9000000000406</t>
  </si>
  <si>
    <t>9000000000410</t>
  </si>
  <si>
    <t>9000000000414</t>
  </si>
  <si>
    <t>9000000000420</t>
  </si>
  <si>
    <t>9000000000421</t>
  </si>
  <si>
    <t>9000000000423</t>
  </si>
  <si>
    <t>9000000000424</t>
  </si>
  <si>
    <t>9000000000427</t>
  </si>
  <si>
    <t>9000000000429</t>
  </si>
  <si>
    <t>9000000000431</t>
  </si>
  <si>
    <t>9000000000433</t>
  </si>
  <si>
    <t>9000000000437</t>
  </si>
  <si>
    <t>9000000000441</t>
  </si>
  <si>
    <t>9000000000442</t>
  </si>
  <si>
    <t>9000000000446</t>
  </si>
  <si>
    <t>9000000000448</t>
  </si>
  <si>
    <t>9000000000452</t>
  </si>
  <si>
    <t>9000000000460</t>
  </si>
  <si>
    <t>9000000000461</t>
  </si>
  <si>
    <t>9000000000463</t>
  </si>
  <si>
    <t>9000000000466</t>
  </si>
  <si>
    <t>9000000000467</t>
  </si>
  <si>
    <t>9000000000470</t>
  </si>
  <si>
    <t>9000000000472</t>
  </si>
  <si>
    <t>9000000000473</t>
  </si>
  <si>
    <t>9000000000474</t>
  </si>
  <si>
    <t>9000000000477</t>
  </si>
  <si>
    <t>9000000000481</t>
  </si>
  <si>
    <t>9000000000483</t>
  </si>
  <si>
    <t>9000000000485</t>
  </si>
  <si>
    <t>9000000000491</t>
  </si>
  <si>
    <t>9000000000492</t>
  </si>
  <si>
    <t>9000000000494</t>
  </si>
  <si>
    <t>9000000000496</t>
  </si>
  <si>
    <t>9000000000497</t>
  </si>
  <si>
    <t>9000000000500</t>
  </si>
  <si>
    <t>9000000000504</t>
  </si>
  <si>
    <t>9000000000505</t>
  </si>
  <si>
    <t>9000000000508</t>
  </si>
  <si>
    <t>9000000000511</t>
  </si>
  <si>
    <t>9000000000513</t>
  </si>
  <si>
    <t>9000000000514</t>
  </si>
  <si>
    <t>9000000000515</t>
  </si>
  <si>
    <t>9000000000517</t>
  </si>
  <si>
    <t>9000000000519</t>
  </si>
  <si>
    <t>9000000000520</t>
  </si>
  <si>
    <t>9000000000521</t>
  </si>
  <si>
    <t>9000000000522</t>
  </si>
  <si>
    <t>9000000000523</t>
  </si>
  <si>
    <t>9000000000525</t>
  </si>
  <si>
    <t>9000000000526</t>
  </si>
  <si>
    <t>9000000000530</t>
  </si>
  <si>
    <t>9000000000535</t>
  </si>
  <si>
    <t>9000000000538</t>
  </si>
  <si>
    <t>9000000000539</t>
  </si>
  <si>
    <t>9000000000540</t>
  </si>
  <si>
    <t>9000000000544</t>
  </si>
  <si>
    <t>9000000000545</t>
  </si>
  <si>
    <t>9000000000547</t>
  </si>
  <si>
    <t>9000000000549</t>
  </si>
  <si>
    <t>9000000000552</t>
  </si>
  <si>
    <t>9000000000563</t>
  </si>
  <si>
    <t>9000000000568</t>
  </si>
  <si>
    <t>9000000000570</t>
  </si>
  <si>
    <t>9000000000572</t>
  </si>
  <si>
    <t>9000000000576</t>
  </si>
  <si>
    <t>9000000000578</t>
  </si>
  <si>
    <t>9000000000579</t>
  </si>
  <si>
    <t>9000000000594</t>
  </si>
  <si>
    <t>9000000000597</t>
  </si>
  <si>
    <t>9000000000598</t>
  </si>
  <si>
    <t>9000000000609</t>
  </si>
  <si>
    <t>9000000000617</t>
  </si>
  <si>
    <t>9000000000619</t>
  </si>
  <si>
    <t>9000000000622</t>
  </si>
  <si>
    <t>9000000000625</t>
  </si>
  <si>
    <t>9000000000627</t>
  </si>
  <si>
    <t>9000000000630</t>
  </si>
  <si>
    <t>9000000000631</t>
  </si>
  <si>
    <t>9000000000639</t>
  </si>
  <si>
    <t>9000000000641</t>
  </si>
  <si>
    <t>9000000000645</t>
  </si>
  <si>
    <t>9000000000646</t>
  </si>
  <si>
    <t>9000000000651</t>
  </si>
  <si>
    <t>9000000000656</t>
  </si>
  <si>
    <t>9000000000657</t>
  </si>
  <si>
    <t>9000000000659</t>
  </si>
  <si>
    <t>9000000000661</t>
  </si>
  <si>
    <t>9000000000663</t>
  </si>
  <si>
    <t>9000000000669</t>
  </si>
  <si>
    <t>9000000000670</t>
  </si>
  <si>
    <t>9000000000672</t>
  </si>
  <si>
    <t>9000000000674</t>
  </si>
  <si>
    <t>9000000000675</t>
  </si>
  <si>
    <t>9000000000676</t>
  </si>
  <si>
    <t>9000000000678</t>
  </si>
  <si>
    <t>9000000000679</t>
  </si>
  <si>
    <t>9000000000680</t>
  </si>
  <si>
    <t>9000000000681</t>
  </si>
  <si>
    <t>9000000000684</t>
  </si>
  <si>
    <t>9000000000689</t>
  </si>
  <si>
    <t>9000000000691</t>
  </si>
  <si>
    <t>9000000000700</t>
  </si>
  <si>
    <t>9000000000702</t>
  </si>
  <si>
    <t>9000000000707</t>
  </si>
  <si>
    <t>9000000000708</t>
  </si>
  <si>
    <t>9000000000714</t>
  </si>
  <si>
    <t>9000000000715</t>
  </si>
  <si>
    <t>9000000000721</t>
  </si>
  <si>
    <t>9000000000722</t>
  </si>
  <si>
    <t>9000000000723</t>
  </si>
  <si>
    <t>9000000000724</t>
  </si>
  <si>
    <t>9000000000726</t>
  </si>
  <si>
    <t>9000000000730</t>
  </si>
  <si>
    <t>9000000000734</t>
  </si>
  <si>
    <t>9000000000735</t>
  </si>
  <si>
    <t>9000000000742</t>
  </si>
  <si>
    <t>9000000000743</t>
  </si>
  <si>
    <t>9000000000745</t>
  </si>
  <si>
    <t>9000000000750</t>
  </si>
  <si>
    <t>9000000000751</t>
  </si>
  <si>
    <t>9000000000754</t>
  </si>
  <si>
    <t>9000000000760</t>
  </si>
  <si>
    <t>9000000000762</t>
  </si>
  <si>
    <t>9000000000776</t>
  </si>
  <si>
    <t>9000000000779</t>
  </si>
  <si>
    <t>9000000000786</t>
  </si>
  <si>
    <t>9000000000788</t>
  </si>
  <si>
    <t>9000000000790</t>
  </si>
  <si>
    <t>9000000000795</t>
  </si>
  <si>
    <t>9000000000797</t>
  </si>
  <si>
    <t>9000000000799</t>
  </si>
  <si>
    <t>9000000000801</t>
  </si>
  <si>
    <t>9000000000802</t>
  </si>
  <si>
    <t>9000000000803</t>
  </si>
  <si>
    <t>9000000000807</t>
  </si>
  <si>
    <t>9000000000808</t>
  </si>
  <si>
    <t>9000000000816</t>
  </si>
  <si>
    <t>9000000000822</t>
  </si>
  <si>
    <t>9000000000824</t>
  </si>
  <si>
    <t>9000000000828</t>
  </si>
  <si>
    <t>9000000000831</t>
  </si>
  <si>
    <t>9000000000834</t>
  </si>
  <si>
    <t>9000000000836</t>
  </si>
  <si>
    <t>9000000000839</t>
  </si>
  <si>
    <t>9000000000844</t>
  </si>
  <si>
    <t>9000000000846</t>
  </si>
  <si>
    <t>9000000000847</t>
  </si>
  <si>
    <t>9000000000850</t>
  </si>
  <si>
    <t>9000000000851</t>
  </si>
  <si>
    <t>9000000000853</t>
  </si>
  <si>
    <t>9000000000854</t>
  </si>
  <si>
    <t>9000000000862</t>
  </si>
  <si>
    <t>9000000000869</t>
  </si>
  <si>
    <t>9000000000870</t>
  </si>
  <si>
    <t>9000000000874</t>
  </si>
  <si>
    <t>9000000000876</t>
  </si>
  <si>
    <t>9000000000877</t>
  </si>
  <si>
    <t>9000000000879</t>
  </si>
  <si>
    <t>9000000000880</t>
  </si>
  <si>
    <t>9000000000882</t>
  </si>
  <si>
    <t>9000000000883</t>
  </si>
  <si>
    <t>9000000000886</t>
  </si>
  <si>
    <t>9000000000887</t>
  </si>
  <si>
    <t>9000000000889</t>
  </si>
  <si>
    <t>9000000000892</t>
  </si>
  <si>
    <t>9000000000894</t>
  </si>
  <si>
    <t>9000000000906</t>
  </si>
  <si>
    <t>9000000000908</t>
  </si>
  <si>
    <t>9000000000909</t>
  </si>
  <si>
    <t>9000000000910</t>
  </si>
  <si>
    <t>9000000000911</t>
  </si>
  <si>
    <t>9000000000913</t>
  </si>
  <si>
    <t>9000000000915</t>
  </si>
  <si>
    <t>9000000000916</t>
  </si>
  <si>
    <t>9000000000917</t>
  </si>
  <si>
    <t>9000000000926</t>
  </si>
  <si>
    <t>9000000000930</t>
  </si>
  <si>
    <t>9000000000933</t>
  </si>
  <si>
    <t>9000000000938</t>
  </si>
  <si>
    <t>9000000000940</t>
  </si>
  <si>
    <t>9000000000942</t>
  </si>
  <si>
    <t>9000000000943</t>
  </si>
  <si>
    <t>9000000000948</t>
  </si>
  <si>
    <t>9000000000950</t>
  </si>
  <si>
    <t>9000000000963</t>
  </si>
  <si>
    <t>9000000000968</t>
  </si>
  <si>
    <t>9000000000969</t>
  </si>
  <si>
    <t>9000000000970</t>
  </si>
  <si>
    <t>9000000000971</t>
  </si>
  <si>
    <t>9000000000972</t>
  </si>
  <si>
    <t>9000000000973</t>
  </si>
  <si>
    <t>9000000000974</t>
  </si>
  <si>
    <t>9000000000975</t>
  </si>
  <si>
    <t>9000000000976</t>
  </si>
  <si>
    <t>9000000000978</t>
  </si>
  <si>
    <t>9000000000984</t>
  </si>
  <si>
    <t>9000000000985</t>
  </si>
  <si>
    <t>9000000000986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</si>
</sst>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##0"/>
    <numFmt numFmtId="166" formatCode="###0.00"/>
  </numFmts>
  <fonts count="3" x14ac:knownFonts="1">
    <font>
      <sz val="10"/>
      <name val="Arial"/>
      <family val="2"/>
    </font>
    <font>
      <sz val="11"/>
      <color rgb="FF000000"/>
      <name val="Calibri"/>
      <family val="2"/>
    </font>
    <font>
      <sz val="10"/>
      <name val="Microsoft YaHe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1" xfId="0" applyNumberFormat="1" applyFont="1" applyBorder="1"/>
    <xf numFmtId="165" fontId="1" fillId="0" borderId="1" xfId="0" applyNumberFormat="1" applyFont="1" applyBorder="1"/>
    <xf numFmtId="3" fontId="1" fillId="0" borderId="1" xfId="0" applyNumberFormat="1" applyFont="1" applyBorder="1"/>
    <xf numFmtId="4" fontId="1" fillId="0" borderId="1" xfId="0" applyNumberFormat="1" applyFont="1" applyBorder="1"/>
    <xf numFmtId="166" fontId="1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#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#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#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#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#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#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#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642C83-930E-464D-94A5-CBAE5599B077}" name="Table13" displayName="Table13" ref="A1:W989" totalsRowShown="0" dataDxfId="10">
  <autoFilter ref="A1:W989" xr:uid="{34642C83-930E-464D-94A5-CBAE5599B077}"/>
  <sortState xmlns:xlrd2="http://schemas.microsoft.com/office/spreadsheetml/2017/richdata2" ref="A2:W987">
    <sortCondition ref="V1:V987"/>
  </sortState>
  <tableColumns count="23">
    <tableColumn id="1" xr3:uid="{94783D7E-0979-EB4E-969F-56C9CEF8E790}" name="Type"/>
    <tableColumn id="2" xr3:uid="{946A33D4-388C-254F-96DB-F179B051F655}" name="Date" dataDxfId="9"/>
    <tableColumn id="3" xr3:uid="{AEA93B62-B3E9-3240-B523-645F43AFBAED}" name="Store"/>
    <tableColumn id="4" xr3:uid="{3C455E7D-EA1A-4E4E-9DCD-452304249CED}" name="Pos"/>
    <tableColumn id="5" xr3:uid="{A2CF8F3F-85EA-E447-BEF6-6915939475AA}" name="Number" dataDxfId="8"/>
    <tableColumn id="6" xr3:uid="{C2C1DE68-F5B2-D84A-9984-09998A11A791}" name="Line" dataDxfId="7"/>
    <tableColumn id="7" xr3:uid="{3DAB4FF6-87EF-DB4A-8ADE-9DC15158470C}" name="Article Code"/>
    <tableColumn id="8" xr3:uid="{969924C0-7336-6B43-B0D7-7A13247AEE31}" name="Item"/>
    <tableColumn id="9" xr3:uid="{B03F98AA-04A5-D14C-B698-5CFD9CE0F814}" name="Client"/>
    <tableColumn id="10" xr3:uid="{E75DEE65-9BB1-BB49-B748-986600D03947}" name="Retailer"/>
    <tableColumn id="11" xr3:uid="{7113C52D-669B-064B-A9C0-618AAF059E40}" name="Quantity" dataDxfId="6"/>
    <tableColumn id="12" xr3:uid="{6EC9F6C6-C55B-BA47-AE10-63D2E39318FF}" name="Amount VAT" dataDxfId="5"/>
    <tableColumn id="13" xr3:uid="{5A38644A-60BC-1A48-BE9C-918F91F18825}" name="Mode Creation"/>
    <tableColumn id="14" xr3:uid="{94A70C8D-2365-1F40-899B-E5CF4A020B30}" name="Mode Generation"/>
    <tableColumn id="15" xr3:uid="{F0DB642E-5F0F-DA44-AED9-EB1D7029C98F}" name="Tax Family"/>
    <tableColumn id="16" xr3:uid="{C3A1664D-E2BA-4B48-9497-4BA0E3B5F155}" name="Document Number"/>
    <tableColumn id="17" xr3:uid="{91511134-4CD2-2942-A9B7-2EC1BF47B1F0}" name="Discount %" dataDxfId="4"/>
    <tableColumn id="18" xr3:uid="{41CF28AA-AD5C-A849-8550-7055345A1647}" name="Price unit including VAT" dataDxfId="3"/>
    <tableColumn id="19" xr3:uid="{181D0A7F-BFAD-654C-B18D-9D153924C917}" name="Total discount" dataDxfId="2"/>
    <tableColumn id="20" xr3:uid="{48C871FA-116C-6742-BE65-2DA66E5666D5}" name="Price unit netto including VAT" dataDxfId="1"/>
    <tableColumn id="21" xr3:uid="{9285079A-E431-5442-8DDA-8DC95E72EA86}" name="Mode Creation2"/>
    <tableColumn id="22" xr3:uid="{D44869FC-B4F7-1949-B1A7-2D06DA9B4B05}" name="name/surname"/>
    <tableColumn id="23" xr3:uid="{B97CA6C4-F08C-A54E-B280-753AC5EC280C}" name="Total unit excluding VAT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A55F-52A9-6345-A747-D62B494457F2}">
  <dimension ref="A1:W989"/>
  <sheetViews>
    <sheetView tabSelected="1" topLeftCell="C1" workbookViewId="0">
      <selection activeCell="R1002" sqref="R1002"/>
    </sheetView>
  </sheetViews>
  <sheetFormatPr baseColWidth="10" defaultRowHeight="13" x14ac:dyDescent="0.15"/>
  <cols>
    <col min="3" max="3" width="17.6640625" customWidth="1"/>
    <col min="5" max="5" width="17.6640625" customWidth="1"/>
    <col min="7" max="7" width="22.5" customWidth="1"/>
    <col min="8" max="8" width="27.33203125" customWidth="1"/>
    <col min="9" max="9" width="22.33203125" customWidth="1"/>
    <col min="10" max="10" width="18.83203125" customWidth="1"/>
    <col min="12" max="12" width="19.5" customWidth="1"/>
    <col min="13" max="13" width="17.83203125" customWidth="1"/>
    <col min="14" max="14" width="18.83203125" customWidth="1"/>
    <col min="15" max="15" width="18.33203125" customWidth="1"/>
    <col min="16" max="16" width="18.83203125" customWidth="1"/>
    <col min="17" max="17" width="18.6640625" customWidth="1"/>
    <col min="18" max="18" width="34.6640625" customWidth="1"/>
    <col min="19" max="19" width="16.83203125" customWidth="1"/>
    <col min="20" max="20" width="29.6640625" customWidth="1"/>
    <col min="21" max="21" width="16.6640625" customWidth="1"/>
    <col min="22" max="22" width="33.33203125" customWidth="1"/>
    <col min="23" max="23" width="29.83203125" customWidth="1"/>
  </cols>
  <sheetData>
    <row r="1" spans="1:23" x14ac:dyDescent="0.15">
      <c r="A1" t="s">
        <v>364</v>
      </c>
      <c r="B1" t="s">
        <v>363</v>
      </c>
      <c r="C1" t="s">
        <v>365</v>
      </c>
      <c r="D1" t="s">
        <v>366</v>
      </c>
      <c r="E1" t="s">
        <v>367</v>
      </c>
      <c r="F1" t="s">
        <v>379</v>
      </c>
      <c r="G1" t="s">
        <v>368</v>
      </c>
      <c r="H1" t="s">
        <v>380</v>
      </c>
      <c r="I1" t="s">
        <v>369</v>
      </c>
      <c r="J1" t="s">
        <v>370</v>
      </c>
      <c r="K1" t="s">
        <v>385</v>
      </c>
      <c r="L1" t="s">
        <v>384</v>
      </c>
      <c r="M1" t="s">
        <v>371</v>
      </c>
      <c r="N1" t="s">
        <v>372</v>
      </c>
      <c r="O1" t="s">
        <v>373</v>
      </c>
      <c r="P1" t="s">
        <v>374</v>
      </c>
      <c r="Q1" t="s">
        <v>381</v>
      </c>
      <c r="R1" t="s">
        <v>375</v>
      </c>
      <c r="S1" t="s">
        <v>376</v>
      </c>
      <c r="T1" t="s">
        <v>383</v>
      </c>
      <c r="U1" t="s">
        <v>377</v>
      </c>
      <c r="V1" t="s">
        <v>378</v>
      </c>
      <c r="W1" t="s">
        <v>382</v>
      </c>
    </row>
    <row r="2" spans="1:23" ht="15" x14ac:dyDescent="0.2">
      <c r="A2" t="s">
        <v>1009</v>
      </c>
      <c r="B2" s="1">
        <f>45901</f>
        <v>45901</v>
      </c>
      <c r="C2" t="s">
        <v>0</v>
      </c>
      <c r="D2">
        <v>108108</v>
      </c>
      <c r="E2" s="2">
        <v>25004255</v>
      </c>
      <c r="F2" s="2">
        <v>1</v>
      </c>
      <c r="G2" t="s">
        <v>1646</v>
      </c>
      <c r="H2" t="s">
        <v>361</v>
      </c>
      <c r="I2" t="s">
        <v>1647</v>
      </c>
      <c r="J2" t="s">
        <v>1324</v>
      </c>
      <c r="K2" s="3">
        <v>1</v>
      </c>
      <c r="L2" s="4">
        <v>450</v>
      </c>
      <c r="Q2" s="2">
        <v>0</v>
      </c>
      <c r="R2" s="5">
        <v>450</v>
      </c>
      <c r="S2" s="5">
        <v>0</v>
      </c>
      <c r="T2" s="2">
        <v>450</v>
      </c>
      <c r="U2" t="s">
        <v>1</v>
      </c>
      <c r="V2" t="s">
        <v>361</v>
      </c>
      <c r="W2" s="5">
        <v>450</v>
      </c>
    </row>
    <row r="3" spans="1:23" ht="15" x14ac:dyDescent="0.2">
      <c r="A3" t="s">
        <v>1009</v>
      </c>
      <c r="B3" s="1">
        <f>45901</f>
        <v>45901</v>
      </c>
      <c r="C3" t="s">
        <v>0</v>
      </c>
      <c r="D3">
        <v>108108</v>
      </c>
      <c r="E3" s="2">
        <v>25004256</v>
      </c>
      <c r="F3" s="2">
        <v>1</v>
      </c>
      <c r="G3" t="s">
        <v>1327</v>
      </c>
      <c r="H3" t="s">
        <v>1010</v>
      </c>
      <c r="I3" t="s">
        <v>1648</v>
      </c>
      <c r="J3" t="s">
        <v>1324</v>
      </c>
      <c r="K3" s="3">
        <v>1</v>
      </c>
      <c r="L3" s="4">
        <v>29.9</v>
      </c>
      <c r="O3" t="s">
        <v>2</v>
      </c>
      <c r="P3" t="s">
        <v>386</v>
      </c>
      <c r="Q3" s="2">
        <v>0</v>
      </c>
      <c r="R3" s="5">
        <v>29.9</v>
      </c>
      <c r="S3" s="5">
        <v>0</v>
      </c>
      <c r="T3" s="2">
        <v>30</v>
      </c>
      <c r="U3" t="s">
        <v>3</v>
      </c>
      <c r="V3" t="s">
        <v>4</v>
      </c>
      <c r="W3" s="5">
        <v>25.13</v>
      </c>
    </row>
    <row r="4" spans="1:23" ht="15" x14ac:dyDescent="0.2">
      <c r="A4" t="s">
        <v>1009</v>
      </c>
      <c r="B4" s="1">
        <f>45901</f>
        <v>45901</v>
      </c>
      <c r="C4" t="s">
        <v>0</v>
      </c>
      <c r="D4">
        <v>108108</v>
      </c>
      <c r="E4" s="2">
        <v>25004257</v>
      </c>
      <c r="F4" s="2">
        <v>1</v>
      </c>
      <c r="G4" t="s">
        <v>1328</v>
      </c>
      <c r="H4" t="s">
        <v>1011</v>
      </c>
      <c r="I4" t="s">
        <v>1649</v>
      </c>
      <c r="J4" t="s">
        <v>1324</v>
      </c>
      <c r="K4" s="3">
        <v>1</v>
      </c>
      <c r="L4" s="4">
        <v>22.9</v>
      </c>
      <c r="O4" t="s">
        <v>2</v>
      </c>
      <c r="P4" t="s">
        <v>387</v>
      </c>
      <c r="Q4" s="2">
        <v>0</v>
      </c>
      <c r="R4" s="5">
        <v>22.9</v>
      </c>
      <c r="S4" s="5">
        <v>0</v>
      </c>
      <c r="T4" s="2">
        <v>23</v>
      </c>
      <c r="U4" t="s">
        <v>3</v>
      </c>
      <c r="V4" t="s">
        <v>5</v>
      </c>
      <c r="W4" s="5">
        <v>19.239999999999998</v>
      </c>
    </row>
    <row r="5" spans="1:23" ht="15" x14ac:dyDescent="0.2">
      <c r="A5" t="s">
        <v>1009</v>
      </c>
      <c r="B5" s="1">
        <f>45901</f>
        <v>45901</v>
      </c>
      <c r="C5" t="s">
        <v>0</v>
      </c>
      <c r="D5">
        <v>108108</v>
      </c>
      <c r="E5" s="2">
        <v>25004258</v>
      </c>
      <c r="F5" s="2">
        <v>1</v>
      </c>
      <c r="G5" t="s">
        <v>1329</v>
      </c>
      <c r="H5" t="s">
        <v>1012</v>
      </c>
      <c r="I5" t="s">
        <v>1650</v>
      </c>
      <c r="J5" t="s">
        <v>1323</v>
      </c>
      <c r="K5" s="3">
        <v>1</v>
      </c>
      <c r="L5" s="4">
        <v>36.9</v>
      </c>
      <c r="O5" t="s">
        <v>2</v>
      </c>
      <c r="P5" t="s">
        <v>388</v>
      </c>
      <c r="Q5" s="2">
        <v>0</v>
      </c>
      <c r="R5" s="5">
        <v>36.9</v>
      </c>
      <c r="S5" s="5">
        <v>0</v>
      </c>
      <c r="T5" s="2">
        <v>37</v>
      </c>
      <c r="U5" t="s">
        <v>3</v>
      </c>
      <c r="V5" t="s">
        <v>6</v>
      </c>
      <c r="W5" s="5">
        <v>31.01</v>
      </c>
    </row>
    <row r="6" spans="1:23" ht="15" x14ac:dyDescent="0.2">
      <c r="A6" t="s">
        <v>1009</v>
      </c>
      <c r="B6" s="1">
        <f>45901</f>
        <v>45901</v>
      </c>
      <c r="C6" t="s">
        <v>0</v>
      </c>
      <c r="D6">
        <v>108108</v>
      </c>
      <c r="E6" s="2">
        <v>25004259</v>
      </c>
      <c r="F6" s="2">
        <v>1</v>
      </c>
      <c r="G6" t="s">
        <v>1330</v>
      </c>
      <c r="H6" t="s">
        <v>1013</v>
      </c>
      <c r="I6" t="s">
        <v>1651</v>
      </c>
      <c r="J6" t="s">
        <v>1323</v>
      </c>
      <c r="K6" s="3">
        <v>1</v>
      </c>
      <c r="L6" s="4">
        <v>21.9</v>
      </c>
      <c r="O6" t="s">
        <v>2</v>
      </c>
      <c r="P6" t="s">
        <v>389</v>
      </c>
      <c r="Q6" s="2">
        <v>0</v>
      </c>
      <c r="R6" s="5">
        <v>21.9</v>
      </c>
      <c r="S6" s="5">
        <v>0</v>
      </c>
      <c r="T6" s="2">
        <v>22</v>
      </c>
      <c r="U6" t="s">
        <v>3</v>
      </c>
      <c r="V6" t="s">
        <v>7</v>
      </c>
      <c r="W6" s="5">
        <v>18.399999999999999</v>
      </c>
    </row>
    <row r="7" spans="1:23" ht="15" x14ac:dyDescent="0.2">
      <c r="A7" t="s">
        <v>1009</v>
      </c>
      <c r="B7" s="1">
        <f>45901</f>
        <v>45901</v>
      </c>
      <c r="C7" t="s">
        <v>0</v>
      </c>
      <c r="D7">
        <v>108108</v>
      </c>
      <c r="E7" s="2">
        <v>25004260</v>
      </c>
      <c r="F7" s="2">
        <v>1</v>
      </c>
      <c r="G7" t="s">
        <v>1331</v>
      </c>
      <c r="H7" t="s">
        <v>1014</v>
      </c>
      <c r="I7" t="s">
        <v>1652</v>
      </c>
      <c r="J7" t="s">
        <v>1323</v>
      </c>
      <c r="K7" s="3">
        <v>1</v>
      </c>
      <c r="L7" s="4">
        <v>21.9</v>
      </c>
      <c r="O7" t="s">
        <v>2</v>
      </c>
      <c r="P7" t="s">
        <v>390</v>
      </c>
      <c r="Q7" s="2">
        <v>0</v>
      </c>
      <c r="R7" s="5">
        <v>21.9</v>
      </c>
      <c r="S7" s="5">
        <v>0</v>
      </c>
      <c r="T7" s="2">
        <v>22</v>
      </c>
      <c r="U7" t="s">
        <v>3</v>
      </c>
      <c r="V7" t="s">
        <v>8</v>
      </c>
      <c r="W7" s="5">
        <v>22.6</v>
      </c>
    </row>
    <row r="8" spans="1:23" ht="15" x14ac:dyDescent="0.2">
      <c r="A8" t="s">
        <v>1009</v>
      </c>
      <c r="B8" s="1">
        <f>45901</f>
        <v>45901</v>
      </c>
      <c r="C8" t="s">
        <v>0</v>
      </c>
      <c r="D8">
        <v>108108</v>
      </c>
      <c r="E8" s="2">
        <v>25004260</v>
      </c>
      <c r="F8" s="2">
        <v>2</v>
      </c>
      <c r="G8" t="s">
        <v>1332</v>
      </c>
      <c r="H8" t="s">
        <v>362</v>
      </c>
      <c r="I8" t="s">
        <v>1652</v>
      </c>
      <c r="J8" t="s">
        <v>1323</v>
      </c>
      <c r="K8" s="3">
        <v>1</v>
      </c>
      <c r="L8" s="4">
        <v>5</v>
      </c>
      <c r="O8" t="s">
        <v>2</v>
      </c>
      <c r="P8" t="s">
        <v>390</v>
      </c>
      <c r="Q8" s="2">
        <v>0</v>
      </c>
      <c r="R8" s="5">
        <v>5</v>
      </c>
      <c r="S8" s="5">
        <v>0</v>
      </c>
      <c r="T8" s="2">
        <v>5</v>
      </c>
      <c r="U8" t="s">
        <v>3</v>
      </c>
      <c r="V8" t="s">
        <v>8</v>
      </c>
      <c r="W8" s="5">
        <v>22.6</v>
      </c>
    </row>
    <row r="9" spans="1:23" ht="15" x14ac:dyDescent="0.2">
      <c r="A9" t="s">
        <v>1009</v>
      </c>
      <c r="B9" s="1">
        <f>45901</f>
        <v>45901</v>
      </c>
      <c r="C9" t="s">
        <v>0</v>
      </c>
      <c r="D9">
        <v>108108</v>
      </c>
      <c r="E9" s="2">
        <v>25004261</v>
      </c>
      <c r="F9" s="2">
        <v>1</v>
      </c>
      <c r="G9" t="s">
        <v>1333</v>
      </c>
      <c r="H9" t="s">
        <v>1015</v>
      </c>
      <c r="I9" t="s">
        <v>1653</v>
      </c>
      <c r="J9" t="s">
        <v>1323</v>
      </c>
      <c r="K9" s="3">
        <v>1</v>
      </c>
      <c r="L9" s="4">
        <v>21.9</v>
      </c>
      <c r="O9" t="s">
        <v>2</v>
      </c>
      <c r="P9" t="s">
        <v>391</v>
      </c>
      <c r="Q9" s="2">
        <v>0</v>
      </c>
      <c r="R9" s="5">
        <v>21.9</v>
      </c>
      <c r="S9" s="5">
        <v>0</v>
      </c>
      <c r="T9" s="2">
        <v>22</v>
      </c>
      <c r="U9" t="s">
        <v>3</v>
      </c>
      <c r="V9" t="s">
        <v>9</v>
      </c>
      <c r="W9" s="5">
        <v>36.799999999999997</v>
      </c>
    </row>
    <row r="10" spans="1:23" ht="15" x14ac:dyDescent="0.2">
      <c r="A10" t="s">
        <v>1009</v>
      </c>
      <c r="B10" s="1">
        <f>45901</f>
        <v>45901</v>
      </c>
      <c r="C10" t="s">
        <v>0</v>
      </c>
      <c r="D10">
        <v>108108</v>
      </c>
      <c r="E10" s="2">
        <v>25004261</v>
      </c>
      <c r="F10" s="2">
        <v>2</v>
      </c>
      <c r="G10" t="s">
        <v>1334</v>
      </c>
      <c r="H10" t="s">
        <v>1016</v>
      </c>
      <c r="I10" t="s">
        <v>1653</v>
      </c>
      <c r="J10" t="s">
        <v>1323</v>
      </c>
      <c r="K10" s="3">
        <v>1</v>
      </c>
      <c r="L10" s="4">
        <v>21.9</v>
      </c>
      <c r="O10" t="s">
        <v>2</v>
      </c>
      <c r="P10" t="s">
        <v>391</v>
      </c>
      <c r="Q10" s="2">
        <v>0</v>
      </c>
      <c r="R10" s="5">
        <v>21.9</v>
      </c>
      <c r="S10" s="5">
        <v>0</v>
      </c>
      <c r="T10" s="2">
        <v>22</v>
      </c>
      <c r="U10" t="s">
        <v>3</v>
      </c>
      <c r="V10" t="s">
        <v>9</v>
      </c>
      <c r="W10" s="5">
        <v>36.799999999999997</v>
      </c>
    </row>
    <row r="11" spans="1:23" ht="15" x14ac:dyDescent="0.2">
      <c r="A11" t="s">
        <v>1009</v>
      </c>
      <c r="B11" s="1">
        <f>45901</f>
        <v>45901</v>
      </c>
      <c r="C11" t="s">
        <v>0</v>
      </c>
      <c r="D11">
        <v>108108</v>
      </c>
      <c r="E11" s="2">
        <v>25004262</v>
      </c>
      <c r="F11" s="2">
        <v>1</v>
      </c>
      <c r="G11" t="s">
        <v>1335</v>
      </c>
      <c r="H11" t="s">
        <v>1017</v>
      </c>
      <c r="I11" t="s">
        <v>1654</v>
      </c>
      <c r="J11" t="s">
        <v>1324</v>
      </c>
      <c r="K11" s="3">
        <v>1</v>
      </c>
      <c r="L11" s="4">
        <v>26.9</v>
      </c>
      <c r="O11" t="s">
        <v>2</v>
      </c>
      <c r="P11" t="s">
        <v>392</v>
      </c>
      <c r="Q11" s="2">
        <v>0</v>
      </c>
      <c r="R11" s="5">
        <v>26.9</v>
      </c>
      <c r="S11" s="5">
        <v>0</v>
      </c>
      <c r="T11" s="2">
        <v>27</v>
      </c>
      <c r="U11" t="s">
        <v>3</v>
      </c>
      <c r="V11" t="s">
        <v>10</v>
      </c>
      <c r="W11" s="5">
        <v>22.61</v>
      </c>
    </row>
    <row r="12" spans="1:23" ht="15" x14ac:dyDescent="0.2">
      <c r="A12" t="s">
        <v>1009</v>
      </c>
      <c r="B12" s="1">
        <f>45901</f>
        <v>45901</v>
      </c>
      <c r="C12" t="s">
        <v>0</v>
      </c>
      <c r="D12">
        <v>108108</v>
      </c>
      <c r="E12" s="2">
        <v>25004263</v>
      </c>
      <c r="F12" s="2">
        <v>1</v>
      </c>
      <c r="G12" t="s">
        <v>1336</v>
      </c>
      <c r="H12" t="s">
        <v>1018</v>
      </c>
      <c r="I12" t="s">
        <v>1655</v>
      </c>
      <c r="J12" t="s">
        <v>1323</v>
      </c>
      <c r="K12" s="3">
        <v>1</v>
      </c>
      <c r="L12" s="4">
        <v>11.95</v>
      </c>
      <c r="O12" t="s">
        <v>2</v>
      </c>
      <c r="P12" t="s">
        <v>393</v>
      </c>
      <c r="Q12" s="2">
        <v>0</v>
      </c>
      <c r="R12" s="5">
        <v>23.9</v>
      </c>
      <c r="S12" s="5">
        <v>0</v>
      </c>
      <c r="T12" s="2">
        <v>24</v>
      </c>
      <c r="U12" t="s">
        <v>3</v>
      </c>
      <c r="V12" t="s">
        <v>11</v>
      </c>
      <c r="W12" s="5">
        <v>20.079999999999998</v>
      </c>
    </row>
    <row r="13" spans="1:23" ht="15" x14ac:dyDescent="0.2">
      <c r="A13" t="s">
        <v>1009</v>
      </c>
      <c r="B13" s="1">
        <f>45901</f>
        <v>45901</v>
      </c>
      <c r="C13" t="s">
        <v>0</v>
      </c>
      <c r="D13">
        <v>108108</v>
      </c>
      <c r="E13" s="2">
        <v>25004263</v>
      </c>
      <c r="F13" s="2">
        <v>2</v>
      </c>
      <c r="G13" t="s">
        <v>1336</v>
      </c>
      <c r="H13" t="s">
        <v>1018</v>
      </c>
      <c r="I13" t="s">
        <v>1655</v>
      </c>
      <c r="J13" t="s">
        <v>1323</v>
      </c>
      <c r="K13" s="3">
        <v>1</v>
      </c>
      <c r="L13" s="4">
        <v>11.95</v>
      </c>
      <c r="O13" t="s">
        <v>2</v>
      </c>
      <c r="P13" t="s">
        <v>393</v>
      </c>
      <c r="Q13" s="2">
        <v>0</v>
      </c>
      <c r="R13" s="5">
        <v>23.9</v>
      </c>
      <c r="S13" s="5">
        <v>0</v>
      </c>
      <c r="T13" s="2">
        <v>24</v>
      </c>
      <c r="U13" t="s">
        <v>3</v>
      </c>
      <c r="V13" t="s">
        <v>11</v>
      </c>
      <c r="W13" s="5">
        <v>20.079999999999998</v>
      </c>
    </row>
    <row r="14" spans="1:23" ht="15" x14ac:dyDescent="0.2">
      <c r="A14" t="s">
        <v>1009</v>
      </c>
      <c r="B14" s="1">
        <f>45901</f>
        <v>45901</v>
      </c>
      <c r="C14" t="s">
        <v>0</v>
      </c>
      <c r="D14">
        <v>108108</v>
      </c>
      <c r="E14" s="2">
        <v>25004264</v>
      </c>
      <c r="F14" s="2">
        <v>1</v>
      </c>
      <c r="G14" t="s">
        <v>1329</v>
      </c>
      <c r="H14" t="s">
        <v>1012</v>
      </c>
      <c r="I14" t="s">
        <v>1647</v>
      </c>
      <c r="J14" t="s">
        <v>1324</v>
      </c>
      <c r="K14" s="3">
        <v>-1</v>
      </c>
      <c r="L14" s="4">
        <v>-36.9</v>
      </c>
      <c r="O14" t="s">
        <v>2</v>
      </c>
      <c r="P14" t="s">
        <v>394</v>
      </c>
      <c r="Q14" s="2">
        <v>0</v>
      </c>
      <c r="R14" s="5">
        <v>36.9</v>
      </c>
      <c r="S14" s="5">
        <v>0</v>
      </c>
      <c r="T14" s="2">
        <v>37</v>
      </c>
      <c r="U14" t="s">
        <v>3</v>
      </c>
      <c r="V14" t="s">
        <v>1322</v>
      </c>
      <c r="W14" s="5">
        <v>2.56</v>
      </c>
    </row>
    <row r="15" spans="1:23" ht="15" x14ac:dyDescent="0.2">
      <c r="A15" t="s">
        <v>1009</v>
      </c>
      <c r="B15" s="1">
        <f>45901</f>
        <v>45901</v>
      </c>
      <c r="C15" t="s">
        <v>0</v>
      </c>
      <c r="D15">
        <v>108108</v>
      </c>
      <c r="E15" s="2">
        <v>25004264</v>
      </c>
      <c r="F15" s="2">
        <v>2</v>
      </c>
      <c r="G15" t="s">
        <v>1337</v>
      </c>
      <c r="H15" t="s">
        <v>1019</v>
      </c>
      <c r="I15" t="s">
        <v>1647</v>
      </c>
      <c r="J15" t="s">
        <v>1324</v>
      </c>
      <c r="K15" s="3">
        <v>1</v>
      </c>
      <c r="L15" s="4">
        <v>20.45</v>
      </c>
      <c r="O15" t="s">
        <v>2</v>
      </c>
      <c r="P15" t="s">
        <v>394</v>
      </c>
      <c r="Q15" s="2">
        <v>50</v>
      </c>
      <c r="R15" s="5">
        <v>40.9</v>
      </c>
      <c r="S15" s="5">
        <v>20.45</v>
      </c>
      <c r="T15" s="2">
        <v>20</v>
      </c>
      <c r="U15" t="s">
        <v>3</v>
      </c>
      <c r="V15" t="s">
        <v>1322</v>
      </c>
      <c r="W15" s="5">
        <v>2.56</v>
      </c>
    </row>
    <row r="16" spans="1:23" ht="15" x14ac:dyDescent="0.2">
      <c r="A16" t="s">
        <v>1009</v>
      </c>
      <c r="B16" s="1">
        <f>45901</f>
        <v>45901</v>
      </c>
      <c r="C16" t="s">
        <v>0</v>
      </c>
      <c r="D16">
        <v>108108</v>
      </c>
      <c r="E16" s="2">
        <v>25004264</v>
      </c>
      <c r="F16" s="2">
        <v>3</v>
      </c>
      <c r="G16" t="s">
        <v>1338</v>
      </c>
      <c r="H16" t="s">
        <v>1020</v>
      </c>
      <c r="I16" t="s">
        <v>1647</v>
      </c>
      <c r="J16" t="s">
        <v>1324</v>
      </c>
      <c r="K16" s="3">
        <v>1</v>
      </c>
      <c r="L16" s="4">
        <v>19.5</v>
      </c>
      <c r="O16" t="s">
        <v>2</v>
      </c>
      <c r="P16" t="s">
        <v>394</v>
      </c>
      <c r="Q16" s="2">
        <v>0</v>
      </c>
      <c r="R16" s="5">
        <v>19.5</v>
      </c>
      <c r="S16" s="5">
        <v>0</v>
      </c>
      <c r="T16" s="2">
        <v>20</v>
      </c>
      <c r="U16" t="s">
        <v>3</v>
      </c>
      <c r="V16" t="s">
        <v>1322</v>
      </c>
      <c r="W16" s="5">
        <v>2.56</v>
      </c>
    </row>
    <row r="17" spans="1:23" ht="15" x14ac:dyDescent="0.2">
      <c r="A17" t="s">
        <v>1009</v>
      </c>
      <c r="B17" s="1">
        <f>45901</f>
        <v>45901</v>
      </c>
      <c r="C17" t="s">
        <v>0</v>
      </c>
      <c r="D17">
        <v>108108</v>
      </c>
      <c r="E17" s="2">
        <v>25004265</v>
      </c>
      <c r="F17" s="2">
        <v>1</v>
      </c>
      <c r="G17" t="s">
        <v>1339</v>
      </c>
      <c r="H17" t="s">
        <v>1021</v>
      </c>
      <c r="I17" t="s">
        <v>1656</v>
      </c>
      <c r="J17" t="s">
        <v>1323</v>
      </c>
      <c r="K17" s="3">
        <v>1</v>
      </c>
      <c r="L17" s="4">
        <v>24</v>
      </c>
      <c r="O17" t="s">
        <v>2</v>
      </c>
      <c r="P17" t="s">
        <v>395</v>
      </c>
      <c r="Q17" s="2">
        <v>0</v>
      </c>
      <c r="R17" s="5">
        <v>24</v>
      </c>
      <c r="S17" s="5">
        <v>0</v>
      </c>
      <c r="T17" s="2">
        <v>24</v>
      </c>
      <c r="U17" t="s">
        <v>3</v>
      </c>
      <c r="V17" t="s">
        <v>12</v>
      </c>
      <c r="W17" s="5">
        <v>20.170000000000002</v>
      </c>
    </row>
    <row r="18" spans="1:23" ht="15" x14ac:dyDescent="0.2">
      <c r="A18" t="s">
        <v>1009</v>
      </c>
      <c r="B18" s="1">
        <f>45901</f>
        <v>45901</v>
      </c>
      <c r="C18" t="s">
        <v>0</v>
      </c>
      <c r="D18">
        <v>108108</v>
      </c>
      <c r="E18" s="2">
        <v>25004266</v>
      </c>
      <c r="F18" s="2">
        <v>1</v>
      </c>
      <c r="G18" t="s">
        <v>1340</v>
      </c>
      <c r="H18" t="s">
        <v>1022</v>
      </c>
      <c r="I18" t="s">
        <v>1657</v>
      </c>
      <c r="J18" t="s">
        <v>1323</v>
      </c>
      <c r="K18" s="3">
        <v>1</v>
      </c>
      <c r="L18" s="4">
        <v>27.9</v>
      </c>
      <c r="O18" t="s">
        <v>2</v>
      </c>
      <c r="P18" t="s">
        <v>396</v>
      </c>
      <c r="Q18" s="2">
        <v>0</v>
      </c>
      <c r="R18" s="5">
        <v>27.9</v>
      </c>
      <c r="S18" s="5">
        <v>0</v>
      </c>
      <c r="T18" s="2">
        <v>28</v>
      </c>
      <c r="U18" t="s">
        <v>3</v>
      </c>
      <c r="V18" t="s">
        <v>13</v>
      </c>
      <c r="W18" s="5">
        <v>23.45</v>
      </c>
    </row>
    <row r="19" spans="1:23" ht="15" x14ac:dyDescent="0.2">
      <c r="A19" t="s">
        <v>1009</v>
      </c>
      <c r="B19" s="1">
        <f>45901</f>
        <v>45901</v>
      </c>
      <c r="C19" t="s">
        <v>0</v>
      </c>
      <c r="D19">
        <v>108108</v>
      </c>
      <c r="E19" s="2">
        <v>25004268</v>
      </c>
      <c r="F19" s="2">
        <v>1</v>
      </c>
      <c r="G19" t="s">
        <v>1341</v>
      </c>
      <c r="H19" t="s">
        <v>1023</v>
      </c>
      <c r="I19" t="s">
        <v>1658</v>
      </c>
      <c r="J19" t="s">
        <v>1323</v>
      </c>
      <c r="K19" s="3">
        <v>1</v>
      </c>
      <c r="L19" s="4">
        <v>24.9</v>
      </c>
      <c r="O19" t="s">
        <v>2</v>
      </c>
      <c r="P19" t="s">
        <v>397</v>
      </c>
      <c r="Q19" s="2">
        <v>0</v>
      </c>
      <c r="R19" s="5">
        <v>24.9</v>
      </c>
      <c r="S19" s="5">
        <v>0</v>
      </c>
      <c r="T19" s="2">
        <v>25</v>
      </c>
      <c r="U19" t="s">
        <v>3</v>
      </c>
      <c r="V19" t="s">
        <v>14</v>
      </c>
      <c r="W19" s="5">
        <v>20.92</v>
      </c>
    </row>
    <row r="20" spans="1:23" ht="15" x14ac:dyDescent="0.2">
      <c r="A20" t="s">
        <v>1009</v>
      </c>
      <c r="B20" s="1">
        <f>45901</f>
        <v>45901</v>
      </c>
      <c r="C20" t="s">
        <v>0</v>
      </c>
      <c r="D20">
        <v>108108</v>
      </c>
      <c r="E20" s="2">
        <v>25004269</v>
      </c>
      <c r="F20" s="2">
        <v>1</v>
      </c>
      <c r="G20" t="s">
        <v>1342</v>
      </c>
      <c r="H20" t="s">
        <v>1024</v>
      </c>
      <c r="I20" t="s">
        <v>1659</v>
      </c>
      <c r="J20" t="s">
        <v>1323</v>
      </c>
      <c r="K20" s="3">
        <v>1</v>
      </c>
      <c r="L20" s="4">
        <v>21.9</v>
      </c>
      <c r="O20" t="s">
        <v>2</v>
      </c>
      <c r="P20" t="s">
        <v>398</v>
      </c>
      <c r="Q20" s="2">
        <v>0</v>
      </c>
      <c r="R20" s="5">
        <v>21.9</v>
      </c>
      <c r="S20" s="5">
        <v>0</v>
      </c>
      <c r="T20" s="2">
        <v>22</v>
      </c>
      <c r="U20" t="s">
        <v>3</v>
      </c>
      <c r="V20" t="s">
        <v>15</v>
      </c>
      <c r="W20" s="5">
        <v>18.399999999999999</v>
      </c>
    </row>
    <row r="21" spans="1:23" ht="15" x14ac:dyDescent="0.2">
      <c r="A21" t="s">
        <v>1009</v>
      </c>
      <c r="B21" s="1">
        <f>45901</f>
        <v>45901</v>
      </c>
      <c r="C21" t="s">
        <v>0</v>
      </c>
      <c r="D21">
        <v>108108</v>
      </c>
      <c r="E21" s="2">
        <v>25004270</v>
      </c>
      <c r="F21" s="2">
        <v>1</v>
      </c>
      <c r="G21" t="s">
        <v>1343</v>
      </c>
      <c r="H21" t="s">
        <v>1025</v>
      </c>
      <c r="I21" t="s">
        <v>1660</v>
      </c>
      <c r="J21" t="s">
        <v>1323</v>
      </c>
      <c r="K21" s="3">
        <v>1</v>
      </c>
      <c r="L21" s="4">
        <v>17.899999999999999</v>
      </c>
      <c r="O21" t="s">
        <v>2</v>
      </c>
      <c r="P21" t="s">
        <v>399</v>
      </c>
      <c r="Q21" s="2">
        <v>0</v>
      </c>
      <c r="R21" s="5">
        <v>17.899999999999999</v>
      </c>
      <c r="S21" s="5">
        <v>0</v>
      </c>
      <c r="T21" s="2">
        <v>18</v>
      </c>
      <c r="U21" t="s">
        <v>3</v>
      </c>
      <c r="V21" t="s">
        <v>16</v>
      </c>
      <c r="W21" s="5">
        <v>15.04</v>
      </c>
    </row>
    <row r="22" spans="1:23" ht="15" x14ac:dyDescent="0.2">
      <c r="A22" t="s">
        <v>1009</v>
      </c>
      <c r="B22" s="1">
        <f>45901</f>
        <v>45901</v>
      </c>
      <c r="C22" t="s">
        <v>0</v>
      </c>
      <c r="D22">
        <v>108108</v>
      </c>
      <c r="E22" s="2">
        <v>25004272</v>
      </c>
      <c r="F22" s="2">
        <v>1</v>
      </c>
      <c r="G22" t="s">
        <v>1344</v>
      </c>
      <c r="H22" t="s">
        <v>1026</v>
      </c>
      <c r="I22" t="s">
        <v>1661</v>
      </c>
      <c r="J22" t="s">
        <v>1323</v>
      </c>
      <c r="K22" s="3">
        <v>1</v>
      </c>
      <c r="L22" s="4">
        <v>27.9</v>
      </c>
      <c r="O22" t="s">
        <v>2</v>
      </c>
      <c r="P22" t="s">
        <v>400</v>
      </c>
      <c r="Q22" s="2">
        <v>0</v>
      </c>
      <c r="R22" s="5">
        <v>27.9</v>
      </c>
      <c r="S22" s="5">
        <v>0</v>
      </c>
      <c r="T22" s="2">
        <v>28</v>
      </c>
      <c r="U22" t="s">
        <v>3</v>
      </c>
      <c r="V22" t="s">
        <v>17</v>
      </c>
      <c r="W22" s="5">
        <v>23.45</v>
      </c>
    </row>
    <row r="23" spans="1:23" ht="15" x14ac:dyDescent="0.2">
      <c r="A23" t="s">
        <v>1009</v>
      </c>
      <c r="B23" s="1">
        <f>45901</f>
        <v>45901</v>
      </c>
      <c r="C23" t="s">
        <v>0</v>
      </c>
      <c r="D23">
        <v>108108</v>
      </c>
      <c r="E23" s="2">
        <v>25004273</v>
      </c>
      <c r="F23" s="2">
        <v>1</v>
      </c>
      <c r="G23" t="s">
        <v>1345</v>
      </c>
      <c r="H23" t="s">
        <v>1027</v>
      </c>
      <c r="I23" t="s">
        <v>1662</v>
      </c>
      <c r="J23" t="s">
        <v>1323</v>
      </c>
      <c r="K23" s="3">
        <v>1</v>
      </c>
      <c r="L23" s="4">
        <v>27</v>
      </c>
      <c r="O23" t="s">
        <v>2</v>
      </c>
      <c r="P23" t="s">
        <v>401</v>
      </c>
      <c r="Q23" s="2">
        <v>0</v>
      </c>
      <c r="R23" s="5">
        <v>27</v>
      </c>
      <c r="S23" s="5">
        <v>0</v>
      </c>
      <c r="T23" s="2">
        <v>27</v>
      </c>
      <c r="U23" t="s">
        <v>3</v>
      </c>
      <c r="V23" t="s">
        <v>18</v>
      </c>
      <c r="W23" s="5">
        <v>22.69</v>
      </c>
    </row>
    <row r="24" spans="1:23" ht="15" x14ac:dyDescent="0.2">
      <c r="A24" t="s">
        <v>1009</v>
      </c>
      <c r="B24" s="1">
        <f>45901</f>
        <v>45901</v>
      </c>
      <c r="C24" t="s">
        <v>0</v>
      </c>
      <c r="D24">
        <v>108108</v>
      </c>
      <c r="E24" s="2">
        <v>25004274</v>
      </c>
      <c r="F24" s="2">
        <v>1</v>
      </c>
      <c r="G24" t="s">
        <v>1346</v>
      </c>
      <c r="H24" t="s">
        <v>1028</v>
      </c>
      <c r="I24" t="s">
        <v>1661</v>
      </c>
      <c r="J24" t="s">
        <v>1323</v>
      </c>
      <c r="K24" s="3">
        <v>1</v>
      </c>
      <c r="L24" s="4">
        <v>22.9</v>
      </c>
      <c r="O24" t="s">
        <v>2</v>
      </c>
      <c r="P24" t="s">
        <v>402</v>
      </c>
      <c r="Q24" s="2">
        <v>0</v>
      </c>
      <c r="R24" s="5">
        <v>22.9</v>
      </c>
      <c r="S24" s="5">
        <v>0</v>
      </c>
      <c r="T24" s="2">
        <v>23</v>
      </c>
      <c r="U24" t="s">
        <v>3</v>
      </c>
      <c r="V24" t="s">
        <v>17</v>
      </c>
      <c r="W24" s="5">
        <v>19.239999999999998</v>
      </c>
    </row>
    <row r="25" spans="1:23" ht="15" x14ac:dyDescent="0.2">
      <c r="A25" t="s">
        <v>1009</v>
      </c>
      <c r="B25" s="1">
        <f>45901</f>
        <v>45901</v>
      </c>
      <c r="C25" t="s">
        <v>0</v>
      </c>
      <c r="D25">
        <v>108108</v>
      </c>
      <c r="E25" s="2">
        <v>25004275</v>
      </c>
      <c r="F25" s="2">
        <v>1</v>
      </c>
      <c r="G25" t="s">
        <v>1347</v>
      </c>
      <c r="H25" t="s">
        <v>1029</v>
      </c>
      <c r="I25" t="s">
        <v>1663</v>
      </c>
      <c r="J25" t="s">
        <v>1323</v>
      </c>
      <c r="K25" s="3">
        <v>1</v>
      </c>
      <c r="L25" s="4">
        <v>29.9</v>
      </c>
      <c r="O25" t="s">
        <v>2</v>
      </c>
      <c r="P25" t="s">
        <v>403</v>
      </c>
      <c r="Q25" s="2">
        <v>0</v>
      </c>
      <c r="R25" s="5">
        <v>29.9</v>
      </c>
      <c r="S25" s="5">
        <v>0</v>
      </c>
      <c r="T25" s="2">
        <v>30</v>
      </c>
      <c r="U25" t="s">
        <v>3</v>
      </c>
      <c r="V25" t="s">
        <v>19</v>
      </c>
      <c r="W25" s="5">
        <v>25.13</v>
      </c>
    </row>
    <row r="26" spans="1:23" ht="15" x14ac:dyDescent="0.2">
      <c r="A26" t="s">
        <v>1009</v>
      </c>
      <c r="B26" s="1">
        <f>45901</f>
        <v>45901</v>
      </c>
      <c r="C26" t="s">
        <v>0</v>
      </c>
      <c r="D26">
        <v>108108</v>
      </c>
      <c r="E26" s="2">
        <v>25004276</v>
      </c>
      <c r="F26" s="2">
        <v>1</v>
      </c>
      <c r="G26" t="s">
        <v>1348</v>
      </c>
      <c r="H26" t="s">
        <v>1030</v>
      </c>
      <c r="I26" t="s">
        <v>1664</v>
      </c>
      <c r="J26" t="s">
        <v>1323</v>
      </c>
      <c r="K26" s="3">
        <v>1</v>
      </c>
      <c r="L26" s="4">
        <v>27.9</v>
      </c>
      <c r="O26" t="s">
        <v>2</v>
      </c>
      <c r="P26" t="s">
        <v>404</v>
      </c>
      <c r="Q26" s="2">
        <v>0</v>
      </c>
      <c r="R26" s="5">
        <v>27.9</v>
      </c>
      <c r="S26" s="5">
        <v>0</v>
      </c>
      <c r="T26" s="2">
        <v>28</v>
      </c>
      <c r="U26" t="s">
        <v>3</v>
      </c>
      <c r="V26" t="s">
        <v>20</v>
      </c>
      <c r="W26" s="5">
        <v>23.45</v>
      </c>
    </row>
    <row r="27" spans="1:23" ht="15" x14ac:dyDescent="0.2">
      <c r="A27" t="s">
        <v>1009</v>
      </c>
      <c r="B27" s="1">
        <f>45901</f>
        <v>45901</v>
      </c>
      <c r="C27" t="s">
        <v>0</v>
      </c>
      <c r="D27">
        <v>108108</v>
      </c>
      <c r="E27" s="2">
        <v>25004277</v>
      </c>
      <c r="F27" s="2">
        <v>1</v>
      </c>
      <c r="G27" t="s">
        <v>1349</v>
      </c>
      <c r="H27" t="s">
        <v>1031</v>
      </c>
      <c r="I27" t="s">
        <v>1665</v>
      </c>
      <c r="J27" t="s">
        <v>1323</v>
      </c>
      <c r="K27" s="3">
        <v>1</v>
      </c>
      <c r="L27" s="4">
        <v>19.7</v>
      </c>
      <c r="O27" t="s">
        <v>2</v>
      </c>
      <c r="P27" t="s">
        <v>405</v>
      </c>
      <c r="Q27" s="2">
        <v>10</v>
      </c>
      <c r="R27" s="5">
        <v>21.9</v>
      </c>
      <c r="S27" s="5">
        <v>2.2000000000000002</v>
      </c>
      <c r="T27" s="2">
        <v>20</v>
      </c>
      <c r="U27" t="s">
        <v>3</v>
      </c>
      <c r="V27" t="s">
        <v>21</v>
      </c>
      <c r="W27" s="5">
        <v>24.87</v>
      </c>
    </row>
    <row r="28" spans="1:23" ht="15" x14ac:dyDescent="0.2">
      <c r="A28" t="s">
        <v>1009</v>
      </c>
      <c r="B28" s="1">
        <f>45901</f>
        <v>45901</v>
      </c>
      <c r="C28" t="s">
        <v>0</v>
      </c>
      <c r="D28">
        <v>108108</v>
      </c>
      <c r="E28" s="2">
        <v>25004277</v>
      </c>
      <c r="F28" s="2">
        <v>2</v>
      </c>
      <c r="G28" t="s">
        <v>1332</v>
      </c>
      <c r="H28" t="s">
        <v>362</v>
      </c>
      <c r="I28" t="s">
        <v>1665</v>
      </c>
      <c r="J28" t="s">
        <v>1323</v>
      </c>
      <c r="K28" s="3">
        <v>1</v>
      </c>
      <c r="L28" s="4">
        <v>4.5</v>
      </c>
      <c r="O28" t="s">
        <v>2</v>
      </c>
      <c r="P28" t="s">
        <v>405</v>
      </c>
      <c r="Q28" s="2">
        <v>10</v>
      </c>
      <c r="R28" s="5">
        <v>5</v>
      </c>
      <c r="S28" s="5">
        <v>0.5</v>
      </c>
      <c r="T28" s="2">
        <v>5</v>
      </c>
      <c r="U28" t="s">
        <v>3</v>
      </c>
      <c r="V28" t="s">
        <v>21</v>
      </c>
      <c r="W28" s="5">
        <v>24.87</v>
      </c>
    </row>
    <row r="29" spans="1:23" ht="15" x14ac:dyDescent="0.2">
      <c r="A29" t="s">
        <v>1009</v>
      </c>
      <c r="B29" s="1">
        <f>45901</f>
        <v>45901</v>
      </c>
      <c r="C29" t="s">
        <v>0</v>
      </c>
      <c r="D29">
        <v>108108</v>
      </c>
      <c r="E29" s="2">
        <v>25004277</v>
      </c>
      <c r="F29" s="2">
        <v>3</v>
      </c>
      <c r="G29" t="s">
        <v>1350</v>
      </c>
      <c r="H29" t="s">
        <v>1032</v>
      </c>
      <c r="I29" t="s">
        <v>1665</v>
      </c>
      <c r="J29" t="s">
        <v>1323</v>
      </c>
      <c r="K29" s="3">
        <v>1</v>
      </c>
      <c r="L29" s="4">
        <v>5.4</v>
      </c>
      <c r="O29" t="s">
        <v>2</v>
      </c>
      <c r="P29" t="s">
        <v>405</v>
      </c>
      <c r="Q29" s="2">
        <v>10</v>
      </c>
      <c r="R29" s="5">
        <v>6</v>
      </c>
      <c r="S29" s="5">
        <v>0.6</v>
      </c>
      <c r="T29" s="2">
        <v>5</v>
      </c>
      <c r="U29" t="s">
        <v>3</v>
      </c>
      <c r="V29" t="s">
        <v>21</v>
      </c>
      <c r="W29" s="5">
        <v>24.87</v>
      </c>
    </row>
    <row r="30" spans="1:23" ht="15" x14ac:dyDescent="0.2">
      <c r="A30" t="s">
        <v>1009</v>
      </c>
      <c r="B30" s="1">
        <f>45901</f>
        <v>45901</v>
      </c>
      <c r="C30" t="s">
        <v>0</v>
      </c>
      <c r="D30">
        <v>108108</v>
      </c>
      <c r="E30" s="2">
        <v>25004278</v>
      </c>
      <c r="F30" s="2">
        <v>1</v>
      </c>
      <c r="G30" t="s">
        <v>1351</v>
      </c>
      <c r="H30" t="s">
        <v>1033</v>
      </c>
      <c r="I30" t="s">
        <v>1666</v>
      </c>
      <c r="J30" t="s">
        <v>1323</v>
      </c>
      <c r="K30" s="3">
        <v>1</v>
      </c>
      <c r="L30" s="4">
        <v>21.9</v>
      </c>
      <c r="O30" t="s">
        <v>2</v>
      </c>
      <c r="P30" t="s">
        <v>406</v>
      </c>
      <c r="Q30" s="2">
        <v>0</v>
      </c>
      <c r="R30" s="5">
        <v>21.9</v>
      </c>
      <c r="S30" s="5">
        <v>0</v>
      </c>
      <c r="T30" s="2">
        <v>22</v>
      </c>
      <c r="U30" t="s">
        <v>3</v>
      </c>
      <c r="V30" t="s">
        <v>22</v>
      </c>
      <c r="W30" s="5">
        <v>18.399999999999999</v>
      </c>
    </row>
    <row r="31" spans="1:23" ht="15" x14ac:dyDescent="0.2">
      <c r="A31" t="s">
        <v>1009</v>
      </c>
      <c r="B31" s="1">
        <f>45901</f>
        <v>45901</v>
      </c>
      <c r="C31" t="s">
        <v>0</v>
      </c>
      <c r="D31">
        <v>108108</v>
      </c>
      <c r="E31" s="2">
        <v>25004279</v>
      </c>
      <c r="F31" s="2">
        <v>1</v>
      </c>
      <c r="G31" t="s">
        <v>1352</v>
      </c>
      <c r="H31" t="s">
        <v>1034</v>
      </c>
      <c r="I31" t="s">
        <v>1647</v>
      </c>
      <c r="J31" t="s">
        <v>1323</v>
      </c>
      <c r="K31" s="3">
        <v>1</v>
      </c>
      <c r="L31" s="4">
        <v>9.9</v>
      </c>
      <c r="O31" t="s">
        <v>2</v>
      </c>
      <c r="P31" t="s">
        <v>407</v>
      </c>
      <c r="Q31" s="2">
        <v>0</v>
      </c>
      <c r="R31" s="5">
        <v>9.9</v>
      </c>
      <c r="S31" s="5">
        <v>0</v>
      </c>
      <c r="T31" s="2">
        <v>10</v>
      </c>
      <c r="U31" t="s">
        <v>3</v>
      </c>
      <c r="V31" t="s">
        <v>1322</v>
      </c>
      <c r="W31" s="5">
        <v>8.32</v>
      </c>
    </row>
    <row r="32" spans="1:23" ht="15" x14ac:dyDescent="0.2">
      <c r="A32" t="s">
        <v>1009</v>
      </c>
      <c r="B32" s="1">
        <f>45901</f>
        <v>45901</v>
      </c>
      <c r="C32" t="s">
        <v>0</v>
      </c>
      <c r="D32">
        <v>108108</v>
      </c>
      <c r="E32" s="2">
        <v>25004280</v>
      </c>
      <c r="F32" s="2">
        <v>1</v>
      </c>
      <c r="G32" t="s">
        <v>1353</v>
      </c>
      <c r="H32" t="s">
        <v>1035</v>
      </c>
      <c r="I32" t="s">
        <v>1663</v>
      </c>
      <c r="J32" t="s">
        <v>1323</v>
      </c>
      <c r="K32" s="3">
        <v>1</v>
      </c>
      <c r="L32" s="4">
        <v>26.9</v>
      </c>
      <c r="O32" t="s">
        <v>2</v>
      </c>
      <c r="P32" t="s">
        <v>408</v>
      </c>
      <c r="Q32" s="2">
        <v>0</v>
      </c>
      <c r="R32" s="5">
        <v>26.9</v>
      </c>
      <c r="S32" s="5">
        <v>0</v>
      </c>
      <c r="T32" s="2">
        <v>27</v>
      </c>
      <c r="U32" t="s">
        <v>3</v>
      </c>
      <c r="V32" t="s">
        <v>19</v>
      </c>
      <c r="W32" s="5">
        <v>22.61</v>
      </c>
    </row>
    <row r="33" spans="1:23" ht="15" x14ac:dyDescent="0.2">
      <c r="A33" t="s">
        <v>1009</v>
      </c>
      <c r="B33" s="1">
        <f>45901</f>
        <v>45901</v>
      </c>
      <c r="C33" t="s">
        <v>0</v>
      </c>
      <c r="D33">
        <v>108108</v>
      </c>
      <c r="E33" s="2">
        <v>25004281</v>
      </c>
      <c r="F33" s="2">
        <v>1</v>
      </c>
      <c r="G33" t="s">
        <v>1646</v>
      </c>
      <c r="H33" t="s">
        <v>361</v>
      </c>
      <c r="I33" t="s">
        <v>1647</v>
      </c>
      <c r="J33" t="s">
        <v>1323</v>
      </c>
      <c r="K33" s="3">
        <v>1</v>
      </c>
      <c r="L33" s="4">
        <v>-450</v>
      </c>
      <c r="Q33" s="2">
        <v>0</v>
      </c>
      <c r="R33" s="5">
        <v>-450</v>
      </c>
      <c r="S33" s="5">
        <v>0</v>
      </c>
      <c r="T33" s="2">
        <v>-450</v>
      </c>
      <c r="U33" t="s">
        <v>1</v>
      </c>
      <c r="V33" t="s">
        <v>361</v>
      </c>
      <c r="W33" s="5">
        <v>-450</v>
      </c>
    </row>
    <row r="34" spans="1:23" ht="15" x14ac:dyDescent="0.2">
      <c r="A34" t="s">
        <v>1009</v>
      </c>
      <c r="B34" s="1">
        <f>45902</f>
        <v>45902</v>
      </c>
      <c r="C34" t="s">
        <v>0</v>
      </c>
      <c r="D34">
        <v>108108</v>
      </c>
      <c r="E34" s="2">
        <v>25004282</v>
      </c>
      <c r="F34" s="2">
        <v>1</v>
      </c>
      <c r="G34" t="s">
        <v>1646</v>
      </c>
      <c r="H34" t="s">
        <v>361</v>
      </c>
      <c r="I34" t="s">
        <v>1647</v>
      </c>
      <c r="J34" t="s">
        <v>1326</v>
      </c>
      <c r="K34" s="3">
        <v>1</v>
      </c>
      <c r="L34" s="4">
        <v>450</v>
      </c>
      <c r="Q34" s="2">
        <v>0</v>
      </c>
      <c r="R34" s="5">
        <v>450</v>
      </c>
      <c r="S34" s="5">
        <v>0</v>
      </c>
      <c r="T34" s="2">
        <v>450</v>
      </c>
      <c r="U34" t="s">
        <v>1</v>
      </c>
      <c r="V34" t="s">
        <v>361</v>
      </c>
      <c r="W34" s="5">
        <v>450</v>
      </c>
    </row>
    <row r="35" spans="1:23" ht="15" x14ac:dyDescent="0.2">
      <c r="A35" t="s">
        <v>1009</v>
      </c>
      <c r="B35" s="1">
        <f>45902</f>
        <v>45902</v>
      </c>
      <c r="C35" t="s">
        <v>0</v>
      </c>
      <c r="D35">
        <v>108108</v>
      </c>
      <c r="E35" s="2">
        <v>25004283</v>
      </c>
      <c r="F35" s="2">
        <v>1</v>
      </c>
      <c r="G35" t="s">
        <v>1354</v>
      </c>
      <c r="H35" t="s">
        <v>1036</v>
      </c>
      <c r="I35" t="s">
        <v>1667</v>
      </c>
      <c r="J35" t="s">
        <v>1326</v>
      </c>
      <c r="K35" s="3">
        <v>1</v>
      </c>
      <c r="L35" s="4">
        <v>24.9</v>
      </c>
      <c r="O35" t="s">
        <v>2</v>
      </c>
      <c r="P35" t="s">
        <v>409</v>
      </c>
      <c r="Q35" s="2">
        <v>0</v>
      </c>
      <c r="R35" s="5">
        <v>24.9</v>
      </c>
      <c r="S35" s="5">
        <v>0</v>
      </c>
      <c r="T35" s="2">
        <v>25</v>
      </c>
      <c r="U35" t="s">
        <v>3</v>
      </c>
      <c r="V35" t="s">
        <v>23</v>
      </c>
      <c r="W35" s="5">
        <v>20.92</v>
      </c>
    </row>
    <row r="36" spans="1:23" ht="15" x14ac:dyDescent="0.2">
      <c r="A36" t="s">
        <v>1009</v>
      </c>
      <c r="B36" s="1">
        <f>45902</f>
        <v>45902</v>
      </c>
      <c r="C36" t="s">
        <v>0</v>
      </c>
      <c r="D36">
        <v>108108</v>
      </c>
      <c r="E36" s="2">
        <v>25004284</v>
      </c>
      <c r="F36" s="2">
        <v>1</v>
      </c>
      <c r="G36" t="s">
        <v>1347</v>
      </c>
      <c r="H36" t="s">
        <v>1029</v>
      </c>
      <c r="I36" t="s">
        <v>1668</v>
      </c>
      <c r="J36" t="s">
        <v>1326</v>
      </c>
      <c r="K36" s="3">
        <v>1</v>
      </c>
      <c r="L36" s="4">
        <v>29.9</v>
      </c>
      <c r="O36" t="s">
        <v>2</v>
      </c>
      <c r="P36" t="s">
        <v>410</v>
      </c>
      <c r="Q36" s="2">
        <v>0</v>
      </c>
      <c r="R36" s="5">
        <v>29.9</v>
      </c>
      <c r="S36" s="5">
        <v>0</v>
      </c>
      <c r="T36" s="2">
        <v>30</v>
      </c>
      <c r="U36" t="s">
        <v>3</v>
      </c>
      <c r="V36" t="s">
        <v>24</v>
      </c>
      <c r="W36" s="5">
        <v>25.13</v>
      </c>
    </row>
    <row r="37" spans="1:23" ht="15" x14ac:dyDescent="0.2">
      <c r="A37" t="s">
        <v>1009</v>
      </c>
      <c r="B37" s="1">
        <f>45902</f>
        <v>45902</v>
      </c>
      <c r="C37" t="s">
        <v>0</v>
      </c>
      <c r="D37">
        <v>108108</v>
      </c>
      <c r="E37" s="2">
        <v>25004285</v>
      </c>
      <c r="F37" s="2">
        <v>1</v>
      </c>
      <c r="G37" t="s">
        <v>1355</v>
      </c>
      <c r="H37" t="s">
        <v>1037</v>
      </c>
      <c r="I37" t="s">
        <v>1669</v>
      </c>
      <c r="J37" t="s">
        <v>1326</v>
      </c>
      <c r="K37" s="3">
        <v>1</v>
      </c>
      <c r="L37" s="4">
        <v>202.5</v>
      </c>
      <c r="O37" t="s">
        <v>2</v>
      </c>
      <c r="P37" t="s">
        <v>411</v>
      </c>
      <c r="Q37" s="2">
        <v>10</v>
      </c>
      <c r="R37" s="5">
        <v>225</v>
      </c>
      <c r="S37" s="5">
        <v>22.5</v>
      </c>
      <c r="T37" s="2">
        <v>203</v>
      </c>
      <c r="U37" t="s">
        <v>3</v>
      </c>
      <c r="V37" t="s">
        <v>25</v>
      </c>
      <c r="W37" s="5">
        <v>177.65</v>
      </c>
    </row>
    <row r="38" spans="1:23" ht="15" x14ac:dyDescent="0.2">
      <c r="A38" t="s">
        <v>1009</v>
      </c>
      <c r="B38" s="1">
        <f>45902</f>
        <v>45902</v>
      </c>
      <c r="C38" t="s">
        <v>0</v>
      </c>
      <c r="D38">
        <v>108108</v>
      </c>
      <c r="E38" s="2">
        <v>25004285</v>
      </c>
      <c r="F38" s="2">
        <v>2</v>
      </c>
      <c r="G38" t="s">
        <v>1356</v>
      </c>
      <c r="H38" t="s">
        <v>1038</v>
      </c>
      <c r="I38" t="s">
        <v>1669</v>
      </c>
      <c r="J38" t="s">
        <v>1326</v>
      </c>
      <c r="K38" s="3">
        <v>1</v>
      </c>
      <c r="L38" s="4">
        <v>8.9</v>
      </c>
      <c r="O38" t="s">
        <v>2</v>
      </c>
      <c r="P38" t="s">
        <v>411</v>
      </c>
      <c r="Q38" s="2">
        <v>10</v>
      </c>
      <c r="R38" s="5">
        <v>9.9</v>
      </c>
      <c r="S38" s="5">
        <v>1</v>
      </c>
      <c r="T38" s="2">
        <v>9</v>
      </c>
      <c r="U38" t="s">
        <v>3</v>
      </c>
      <c r="V38" t="s">
        <v>25</v>
      </c>
      <c r="W38" s="5">
        <v>177.65</v>
      </c>
    </row>
    <row r="39" spans="1:23" ht="15" x14ac:dyDescent="0.2">
      <c r="A39" t="s">
        <v>1009</v>
      </c>
      <c r="B39" s="1">
        <f>45902</f>
        <v>45902</v>
      </c>
      <c r="C39" t="s">
        <v>0</v>
      </c>
      <c r="D39">
        <v>108108</v>
      </c>
      <c r="E39" s="2">
        <v>25004286</v>
      </c>
      <c r="F39" s="2">
        <v>1</v>
      </c>
      <c r="G39" t="s">
        <v>1357</v>
      </c>
      <c r="H39" t="s">
        <v>1039</v>
      </c>
      <c r="I39" t="s">
        <v>1670</v>
      </c>
      <c r="J39" t="s">
        <v>1326</v>
      </c>
      <c r="K39" s="3">
        <v>1</v>
      </c>
      <c r="L39" s="4">
        <v>21.9</v>
      </c>
      <c r="O39" t="s">
        <v>2</v>
      </c>
      <c r="P39" t="s">
        <v>412</v>
      </c>
      <c r="Q39" s="2">
        <v>0</v>
      </c>
      <c r="R39" s="5">
        <v>21.9</v>
      </c>
      <c r="S39" s="5">
        <v>0</v>
      </c>
      <c r="T39" s="2">
        <v>22</v>
      </c>
      <c r="U39" t="s">
        <v>3</v>
      </c>
      <c r="V39" t="s">
        <v>26</v>
      </c>
      <c r="W39" s="5">
        <v>18.399999999999999</v>
      </c>
    </row>
    <row r="40" spans="1:23" ht="15" x14ac:dyDescent="0.2">
      <c r="A40" t="s">
        <v>1009</v>
      </c>
      <c r="B40" s="1">
        <f>45902</f>
        <v>45902</v>
      </c>
      <c r="C40" t="s">
        <v>0</v>
      </c>
      <c r="D40">
        <v>108108</v>
      </c>
      <c r="E40" s="2">
        <v>25004287</v>
      </c>
      <c r="F40" s="2">
        <v>1</v>
      </c>
      <c r="G40" t="s">
        <v>1358</v>
      </c>
      <c r="H40" t="s">
        <v>1040</v>
      </c>
      <c r="I40" t="s">
        <v>1671</v>
      </c>
      <c r="J40" t="s">
        <v>1326</v>
      </c>
      <c r="K40" s="3">
        <v>1</v>
      </c>
      <c r="L40" s="4">
        <v>17.899999999999999</v>
      </c>
      <c r="O40" t="s">
        <v>2</v>
      </c>
      <c r="P40" t="s">
        <v>413</v>
      </c>
      <c r="Q40" s="2">
        <v>0</v>
      </c>
      <c r="R40" s="5">
        <v>17.899999999999999</v>
      </c>
      <c r="S40" s="5">
        <v>0</v>
      </c>
      <c r="T40" s="2">
        <v>18</v>
      </c>
      <c r="U40" t="s">
        <v>3</v>
      </c>
      <c r="V40" t="s">
        <v>27</v>
      </c>
      <c r="W40" s="5">
        <v>15.04</v>
      </c>
    </row>
    <row r="41" spans="1:23" ht="15" x14ac:dyDescent="0.2">
      <c r="A41" t="s">
        <v>1009</v>
      </c>
      <c r="B41" s="1">
        <f>45902</f>
        <v>45902</v>
      </c>
      <c r="C41" t="s">
        <v>0</v>
      </c>
      <c r="D41">
        <v>108108</v>
      </c>
      <c r="E41" s="2">
        <v>25004288</v>
      </c>
      <c r="F41" s="2">
        <v>1</v>
      </c>
      <c r="G41" t="s">
        <v>1359</v>
      </c>
      <c r="H41" t="s">
        <v>1041</v>
      </c>
      <c r="I41" t="s">
        <v>1672</v>
      </c>
      <c r="J41" t="s">
        <v>1326</v>
      </c>
      <c r="K41" s="3">
        <v>1</v>
      </c>
      <c r="L41" s="4">
        <v>33.5</v>
      </c>
      <c r="O41" t="s">
        <v>2</v>
      </c>
      <c r="P41" t="s">
        <v>414</v>
      </c>
      <c r="Q41" s="2">
        <v>0</v>
      </c>
      <c r="R41" s="5">
        <v>33.5</v>
      </c>
      <c r="S41" s="5">
        <v>0</v>
      </c>
      <c r="T41" s="2">
        <v>34</v>
      </c>
      <c r="U41" t="s">
        <v>3</v>
      </c>
      <c r="V41" t="s">
        <v>28</v>
      </c>
      <c r="W41" s="5">
        <v>28.15</v>
      </c>
    </row>
    <row r="42" spans="1:23" ht="15" x14ac:dyDescent="0.2">
      <c r="A42" t="s">
        <v>1009</v>
      </c>
      <c r="B42" s="1">
        <f>45902</f>
        <v>45902</v>
      </c>
      <c r="C42" t="s">
        <v>0</v>
      </c>
      <c r="D42">
        <v>108108</v>
      </c>
      <c r="E42" s="2">
        <v>25004288</v>
      </c>
      <c r="F42" s="2">
        <v>2</v>
      </c>
      <c r="G42" t="s">
        <v>1332</v>
      </c>
      <c r="H42" t="s">
        <v>362</v>
      </c>
      <c r="I42" t="s">
        <v>1672</v>
      </c>
      <c r="J42" t="s">
        <v>1326</v>
      </c>
      <c r="K42" s="3">
        <v>1</v>
      </c>
      <c r="L42" s="4">
        <v>0</v>
      </c>
      <c r="O42" t="s">
        <v>2</v>
      </c>
      <c r="P42" t="s">
        <v>414</v>
      </c>
      <c r="Q42" s="2">
        <v>100</v>
      </c>
      <c r="R42" s="5">
        <v>5</v>
      </c>
      <c r="S42" s="5">
        <v>5</v>
      </c>
      <c r="T42" s="2">
        <v>0</v>
      </c>
      <c r="U42" t="s">
        <v>3</v>
      </c>
      <c r="V42" t="s">
        <v>28</v>
      </c>
      <c r="W42" s="5">
        <v>28.15</v>
      </c>
    </row>
    <row r="43" spans="1:23" ht="15" x14ac:dyDescent="0.2">
      <c r="A43" t="s">
        <v>1009</v>
      </c>
      <c r="B43" s="1">
        <f>45902</f>
        <v>45902</v>
      </c>
      <c r="C43" t="s">
        <v>0</v>
      </c>
      <c r="D43">
        <v>108108</v>
      </c>
      <c r="E43" s="2">
        <v>25004289</v>
      </c>
      <c r="F43" s="2">
        <v>1</v>
      </c>
      <c r="G43" t="s">
        <v>1360</v>
      </c>
      <c r="H43" t="s">
        <v>1042</v>
      </c>
      <c r="I43" t="s">
        <v>1647</v>
      </c>
      <c r="J43" t="s">
        <v>1323</v>
      </c>
      <c r="K43" s="3">
        <v>1</v>
      </c>
      <c r="L43" s="4">
        <v>22.9</v>
      </c>
      <c r="O43" t="s">
        <v>2</v>
      </c>
      <c r="P43" t="s">
        <v>415</v>
      </c>
      <c r="Q43" s="2">
        <v>0</v>
      </c>
      <c r="R43" s="5">
        <v>22.9</v>
      </c>
      <c r="S43" s="5">
        <v>0</v>
      </c>
      <c r="T43" s="2">
        <v>23</v>
      </c>
      <c r="U43" t="s">
        <v>3</v>
      </c>
      <c r="V43" t="s">
        <v>1322</v>
      </c>
      <c r="W43" s="5">
        <v>19.239999999999998</v>
      </c>
    </row>
    <row r="44" spans="1:23" ht="15" x14ac:dyDescent="0.2">
      <c r="A44" t="s">
        <v>1009</v>
      </c>
      <c r="B44" s="1">
        <f>45902</f>
        <v>45902</v>
      </c>
      <c r="C44" t="s">
        <v>0</v>
      </c>
      <c r="D44">
        <v>108108</v>
      </c>
      <c r="E44" s="2">
        <v>25004290</v>
      </c>
      <c r="F44" s="2">
        <v>1</v>
      </c>
      <c r="G44" t="s">
        <v>1361</v>
      </c>
      <c r="H44" t="s">
        <v>1043</v>
      </c>
      <c r="I44" t="s">
        <v>1673</v>
      </c>
      <c r="J44" t="s">
        <v>1323</v>
      </c>
      <c r="K44" s="3">
        <v>1</v>
      </c>
      <c r="L44" s="4">
        <v>22.9</v>
      </c>
      <c r="O44" t="s">
        <v>2</v>
      </c>
      <c r="P44" t="s">
        <v>416</v>
      </c>
      <c r="Q44" s="2">
        <v>0</v>
      </c>
      <c r="R44" s="5">
        <v>22.9</v>
      </c>
      <c r="S44" s="5">
        <v>0</v>
      </c>
      <c r="T44" s="2">
        <v>23</v>
      </c>
      <c r="U44" t="s">
        <v>3</v>
      </c>
      <c r="V44" t="s">
        <v>29</v>
      </c>
      <c r="W44" s="5">
        <v>19.239999999999998</v>
      </c>
    </row>
    <row r="45" spans="1:23" ht="15" x14ac:dyDescent="0.2">
      <c r="A45" t="s">
        <v>1009</v>
      </c>
      <c r="B45" s="1">
        <f>45902</f>
        <v>45902</v>
      </c>
      <c r="C45" t="s">
        <v>0</v>
      </c>
      <c r="D45">
        <v>108108</v>
      </c>
      <c r="E45" s="2">
        <v>25004291</v>
      </c>
      <c r="F45" s="2">
        <v>1</v>
      </c>
      <c r="G45" t="s">
        <v>1362</v>
      </c>
      <c r="H45" t="s">
        <v>1044</v>
      </c>
      <c r="I45" t="s">
        <v>1674</v>
      </c>
      <c r="J45" t="s">
        <v>1326</v>
      </c>
      <c r="K45" s="3">
        <v>1</v>
      </c>
      <c r="L45" s="4">
        <v>26.9</v>
      </c>
      <c r="O45" t="s">
        <v>2</v>
      </c>
      <c r="P45" t="s">
        <v>417</v>
      </c>
      <c r="Q45" s="2">
        <v>0</v>
      </c>
      <c r="R45" s="5">
        <v>26.9</v>
      </c>
      <c r="S45" s="5">
        <v>0</v>
      </c>
      <c r="T45" s="2">
        <v>27</v>
      </c>
      <c r="U45" t="s">
        <v>3</v>
      </c>
      <c r="V45" t="s">
        <v>30</v>
      </c>
      <c r="W45" s="5">
        <v>22.61</v>
      </c>
    </row>
    <row r="46" spans="1:23" ht="15" x14ac:dyDescent="0.2">
      <c r="A46" t="s">
        <v>1009</v>
      </c>
      <c r="B46" s="1">
        <f>45902</f>
        <v>45902</v>
      </c>
      <c r="C46" t="s">
        <v>0</v>
      </c>
      <c r="D46">
        <v>108108</v>
      </c>
      <c r="E46" s="2">
        <v>25004292</v>
      </c>
      <c r="F46" s="2">
        <v>1</v>
      </c>
      <c r="G46" t="s">
        <v>1363</v>
      </c>
      <c r="H46" t="s">
        <v>1045</v>
      </c>
      <c r="I46" t="s">
        <v>1675</v>
      </c>
      <c r="J46" t="s">
        <v>1323</v>
      </c>
      <c r="K46" s="3">
        <v>1</v>
      </c>
      <c r="L46" s="4">
        <v>32</v>
      </c>
      <c r="O46" t="s">
        <v>2</v>
      </c>
      <c r="P46" t="s">
        <v>418</v>
      </c>
      <c r="Q46" s="2">
        <v>0</v>
      </c>
      <c r="R46" s="5">
        <v>32</v>
      </c>
      <c r="S46" s="5">
        <v>0</v>
      </c>
      <c r="T46" s="2">
        <v>32</v>
      </c>
      <c r="U46" t="s">
        <v>3</v>
      </c>
      <c r="V46" t="s">
        <v>31</v>
      </c>
      <c r="W46" s="5">
        <v>26.89</v>
      </c>
    </row>
    <row r="47" spans="1:23" ht="15" x14ac:dyDescent="0.2">
      <c r="A47" t="s">
        <v>1009</v>
      </c>
      <c r="B47" s="1">
        <f>45902</f>
        <v>45902</v>
      </c>
      <c r="C47" t="s">
        <v>0</v>
      </c>
      <c r="D47">
        <v>108108</v>
      </c>
      <c r="E47" s="2">
        <v>25004293</v>
      </c>
      <c r="F47" s="2">
        <v>1</v>
      </c>
      <c r="G47" t="s">
        <v>1364</v>
      </c>
      <c r="H47" t="s">
        <v>1046</v>
      </c>
      <c r="I47" t="s">
        <v>1676</v>
      </c>
      <c r="J47" t="s">
        <v>1326</v>
      </c>
      <c r="K47" s="3">
        <v>1</v>
      </c>
      <c r="L47" s="4">
        <v>14.95</v>
      </c>
      <c r="O47" t="s">
        <v>2</v>
      </c>
      <c r="P47" t="s">
        <v>419</v>
      </c>
      <c r="Q47" s="2">
        <v>50</v>
      </c>
      <c r="R47" s="5">
        <v>29.9</v>
      </c>
      <c r="S47" s="5">
        <v>14.95</v>
      </c>
      <c r="T47" s="2">
        <v>15</v>
      </c>
      <c r="U47" t="s">
        <v>3</v>
      </c>
      <c r="V47" t="s">
        <v>32</v>
      </c>
      <c r="W47" s="5">
        <v>12.56</v>
      </c>
    </row>
    <row r="48" spans="1:23" ht="15" x14ac:dyDescent="0.2">
      <c r="A48" t="s">
        <v>1009</v>
      </c>
      <c r="B48" s="1">
        <f>45902</f>
        <v>45902</v>
      </c>
      <c r="C48" t="s">
        <v>0</v>
      </c>
      <c r="D48">
        <v>108108</v>
      </c>
      <c r="E48" s="2">
        <v>25004294</v>
      </c>
      <c r="F48" s="2">
        <v>1</v>
      </c>
      <c r="G48" t="s">
        <v>1365</v>
      </c>
      <c r="H48" t="s">
        <v>1047</v>
      </c>
      <c r="I48" t="s">
        <v>1677</v>
      </c>
      <c r="J48" t="s">
        <v>1323</v>
      </c>
      <c r="K48" s="3">
        <v>1</v>
      </c>
      <c r="L48" s="4">
        <v>28.9</v>
      </c>
      <c r="O48" t="s">
        <v>2</v>
      </c>
      <c r="P48" t="s">
        <v>420</v>
      </c>
      <c r="Q48" s="2">
        <v>0</v>
      </c>
      <c r="R48" s="5">
        <v>28.9</v>
      </c>
      <c r="S48" s="5">
        <v>0</v>
      </c>
      <c r="T48" s="2">
        <v>29</v>
      </c>
      <c r="U48" t="s">
        <v>3</v>
      </c>
      <c r="V48" t="s">
        <v>33</v>
      </c>
      <c r="W48" s="5">
        <v>45.72</v>
      </c>
    </row>
    <row r="49" spans="1:23" ht="15" x14ac:dyDescent="0.2">
      <c r="A49" t="s">
        <v>1009</v>
      </c>
      <c r="B49" s="1">
        <f>45902</f>
        <v>45902</v>
      </c>
      <c r="C49" t="s">
        <v>0</v>
      </c>
      <c r="D49">
        <v>108108</v>
      </c>
      <c r="E49" s="2">
        <v>25004294</v>
      </c>
      <c r="F49" s="2">
        <v>2</v>
      </c>
      <c r="G49" t="s">
        <v>1366</v>
      </c>
      <c r="H49" t="s">
        <v>1048</v>
      </c>
      <c r="I49" t="s">
        <v>1677</v>
      </c>
      <c r="J49" t="s">
        <v>1323</v>
      </c>
      <c r="K49" s="3">
        <v>1</v>
      </c>
      <c r="L49" s="4">
        <v>25.5</v>
      </c>
      <c r="O49" t="s">
        <v>2</v>
      </c>
      <c r="P49" t="s">
        <v>420</v>
      </c>
      <c r="Q49" s="2">
        <v>0</v>
      </c>
      <c r="R49" s="5">
        <v>25.5</v>
      </c>
      <c r="S49" s="5">
        <v>0</v>
      </c>
      <c r="T49" s="2">
        <v>26</v>
      </c>
      <c r="U49" t="s">
        <v>3</v>
      </c>
      <c r="V49" t="s">
        <v>33</v>
      </c>
      <c r="W49" s="5">
        <v>45.72</v>
      </c>
    </row>
    <row r="50" spans="1:23" ht="15" x14ac:dyDescent="0.2">
      <c r="A50" t="s">
        <v>1009</v>
      </c>
      <c r="B50" s="1">
        <f>45902</f>
        <v>45902</v>
      </c>
      <c r="C50" t="s">
        <v>0</v>
      </c>
      <c r="D50">
        <v>108108</v>
      </c>
      <c r="E50" s="2">
        <v>25004295</v>
      </c>
      <c r="F50" s="2">
        <v>1</v>
      </c>
      <c r="G50" t="s">
        <v>1367</v>
      </c>
      <c r="H50" t="s">
        <v>1049</v>
      </c>
      <c r="I50" t="s">
        <v>1678</v>
      </c>
      <c r="J50" t="s">
        <v>1323</v>
      </c>
      <c r="K50" s="3">
        <v>1</v>
      </c>
      <c r="L50" s="4">
        <v>27.9</v>
      </c>
      <c r="O50" t="s">
        <v>2</v>
      </c>
      <c r="P50" t="s">
        <v>421</v>
      </c>
      <c r="Q50" s="2">
        <v>0</v>
      </c>
      <c r="R50" s="5">
        <v>27.9</v>
      </c>
      <c r="S50" s="5">
        <v>0</v>
      </c>
      <c r="T50" s="2">
        <v>28</v>
      </c>
      <c r="U50" t="s">
        <v>3</v>
      </c>
      <c r="V50" t="s">
        <v>34</v>
      </c>
      <c r="W50" s="5">
        <v>23.45</v>
      </c>
    </row>
    <row r="51" spans="1:23" ht="15" x14ac:dyDescent="0.2">
      <c r="A51" t="s">
        <v>1009</v>
      </c>
      <c r="B51" s="1">
        <f>45902</f>
        <v>45902</v>
      </c>
      <c r="C51" t="s">
        <v>0</v>
      </c>
      <c r="D51">
        <v>108108</v>
      </c>
      <c r="E51" s="2">
        <v>25004296</v>
      </c>
      <c r="F51" s="2">
        <v>1</v>
      </c>
      <c r="G51" t="s">
        <v>1368</v>
      </c>
      <c r="H51" t="s">
        <v>1050</v>
      </c>
      <c r="I51" t="s">
        <v>1679</v>
      </c>
      <c r="J51" t="s">
        <v>1323</v>
      </c>
      <c r="K51" s="3">
        <v>1</v>
      </c>
      <c r="L51" s="4">
        <v>34</v>
      </c>
      <c r="O51" t="s">
        <v>2</v>
      </c>
      <c r="P51" t="s">
        <v>422</v>
      </c>
      <c r="Q51" s="2">
        <v>0</v>
      </c>
      <c r="R51" s="5">
        <v>34</v>
      </c>
      <c r="S51" s="5">
        <v>0</v>
      </c>
      <c r="T51" s="2">
        <v>34</v>
      </c>
      <c r="U51" t="s">
        <v>3</v>
      </c>
      <c r="V51" t="s">
        <v>35</v>
      </c>
      <c r="W51" s="5">
        <v>28.57</v>
      </c>
    </row>
    <row r="52" spans="1:23" ht="15" x14ac:dyDescent="0.2">
      <c r="A52" t="s">
        <v>1009</v>
      </c>
      <c r="B52" s="1">
        <f>45902</f>
        <v>45902</v>
      </c>
      <c r="C52" t="s">
        <v>0</v>
      </c>
      <c r="D52">
        <v>108108</v>
      </c>
      <c r="E52" s="2">
        <v>25004297</v>
      </c>
      <c r="F52" s="2">
        <v>1</v>
      </c>
      <c r="G52" t="s">
        <v>1362</v>
      </c>
      <c r="H52" t="s">
        <v>1044</v>
      </c>
      <c r="I52" t="s">
        <v>1680</v>
      </c>
      <c r="J52" t="s">
        <v>1323</v>
      </c>
      <c r="K52" s="3">
        <v>1</v>
      </c>
      <c r="L52" s="4">
        <v>26.9</v>
      </c>
      <c r="O52" t="s">
        <v>2</v>
      </c>
      <c r="P52" t="s">
        <v>423</v>
      </c>
      <c r="Q52" s="2">
        <v>0</v>
      </c>
      <c r="R52" s="5">
        <v>26.9</v>
      </c>
      <c r="S52" s="5">
        <v>0</v>
      </c>
      <c r="T52" s="2">
        <v>27</v>
      </c>
      <c r="U52" t="s">
        <v>3</v>
      </c>
      <c r="V52" t="s">
        <v>36</v>
      </c>
      <c r="W52" s="5">
        <v>22.61</v>
      </c>
    </row>
    <row r="53" spans="1:23" ht="15" x14ac:dyDescent="0.2">
      <c r="A53" t="s">
        <v>1009</v>
      </c>
      <c r="B53" s="1">
        <f>45902</f>
        <v>45902</v>
      </c>
      <c r="C53" t="s">
        <v>0</v>
      </c>
      <c r="D53">
        <v>108108</v>
      </c>
      <c r="E53" s="2">
        <v>25004298</v>
      </c>
      <c r="F53" s="2">
        <v>1</v>
      </c>
      <c r="G53" t="s">
        <v>1369</v>
      </c>
      <c r="H53" t="s">
        <v>1051</v>
      </c>
      <c r="I53" t="s">
        <v>1647</v>
      </c>
      <c r="J53" t="s">
        <v>1323</v>
      </c>
      <c r="K53" s="3">
        <v>1</v>
      </c>
      <c r="L53" s="4">
        <v>9.9</v>
      </c>
      <c r="O53" t="s">
        <v>2</v>
      </c>
      <c r="P53" t="s">
        <v>424</v>
      </c>
      <c r="Q53" s="2">
        <v>0</v>
      </c>
      <c r="R53" s="5">
        <v>9.9</v>
      </c>
      <c r="S53" s="5">
        <v>0</v>
      </c>
      <c r="T53" s="2">
        <v>10</v>
      </c>
      <c r="U53" t="s">
        <v>3</v>
      </c>
      <c r="V53" t="s">
        <v>1322</v>
      </c>
      <c r="W53" s="5">
        <v>8.32</v>
      </c>
    </row>
    <row r="54" spans="1:23" ht="15" x14ac:dyDescent="0.2">
      <c r="A54" t="s">
        <v>1009</v>
      </c>
      <c r="B54" s="1">
        <f>45902</f>
        <v>45902</v>
      </c>
      <c r="C54" t="s">
        <v>0</v>
      </c>
      <c r="D54">
        <v>108108</v>
      </c>
      <c r="E54" s="2">
        <v>25004299</v>
      </c>
      <c r="F54" s="2">
        <v>1</v>
      </c>
      <c r="G54" t="s">
        <v>1370</v>
      </c>
      <c r="H54" t="s">
        <v>1052</v>
      </c>
      <c r="I54" t="s">
        <v>1647</v>
      </c>
      <c r="J54" t="s">
        <v>1323</v>
      </c>
      <c r="K54" s="3">
        <v>1</v>
      </c>
      <c r="L54" s="4">
        <v>20.5</v>
      </c>
      <c r="O54" t="s">
        <v>2</v>
      </c>
      <c r="P54" t="s">
        <v>425</v>
      </c>
      <c r="Q54" s="2">
        <v>0</v>
      </c>
      <c r="R54" s="5">
        <v>20.5</v>
      </c>
      <c r="S54" s="5">
        <v>0</v>
      </c>
      <c r="T54" s="2">
        <v>21</v>
      </c>
      <c r="U54" t="s">
        <v>3</v>
      </c>
      <c r="V54" t="s">
        <v>1322</v>
      </c>
      <c r="W54" s="5">
        <v>24.33</v>
      </c>
    </row>
    <row r="55" spans="1:23" ht="15" x14ac:dyDescent="0.2">
      <c r="A55" t="s">
        <v>1009</v>
      </c>
      <c r="B55" s="1">
        <f>45902</f>
        <v>45902</v>
      </c>
      <c r="C55" t="s">
        <v>0</v>
      </c>
      <c r="D55">
        <v>108108</v>
      </c>
      <c r="E55" s="2">
        <v>25004299</v>
      </c>
      <c r="F55" s="2">
        <v>2</v>
      </c>
      <c r="G55" t="s">
        <v>1371</v>
      </c>
      <c r="H55" t="s">
        <v>1053</v>
      </c>
      <c r="I55" t="s">
        <v>1647</v>
      </c>
      <c r="J55" t="s">
        <v>1323</v>
      </c>
      <c r="K55" s="3">
        <v>1</v>
      </c>
      <c r="L55" s="4">
        <v>8.4499999999999993</v>
      </c>
      <c r="O55" t="s">
        <v>2</v>
      </c>
      <c r="P55" t="s">
        <v>425</v>
      </c>
      <c r="Q55" s="2">
        <v>0</v>
      </c>
      <c r="R55" s="5">
        <v>8.4499999999999993</v>
      </c>
      <c r="S55" s="5">
        <v>0</v>
      </c>
      <c r="T55" s="2">
        <v>8</v>
      </c>
      <c r="U55" t="s">
        <v>3</v>
      </c>
      <c r="V55" t="s">
        <v>1322</v>
      </c>
      <c r="W55" s="5">
        <v>24.33</v>
      </c>
    </row>
    <row r="56" spans="1:23" ht="15" x14ac:dyDescent="0.2">
      <c r="A56" t="s">
        <v>1009</v>
      </c>
      <c r="B56" s="1">
        <f>45902</f>
        <v>45902</v>
      </c>
      <c r="C56" t="s">
        <v>0</v>
      </c>
      <c r="D56">
        <v>108108</v>
      </c>
      <c r="E56" s="2">
        <v>25004300</v>
      </c>
      <c r="F56" s="2">
        <v>1</v>
      </c>
      <c r="G56" t="s">
        <v>1646</v>
      </c>
      <c r="H56" t="s">
        <v>361</v>
      </c>
      <c r="I56" t="s">
        <v>1647</v>
      </c>
      <c r="J56" t="s">
        <v>1323</v>
      </c>
      <c r="K56" s="3">
        <v>1</v>
      </c>
      <c r="L56" s="4">
        <v>-450</v>
      </c>
      <c r="Q56" s="2">
        <v>0</v>
      </c>
      <c r="R56" s="5">
        <v>-450</v>
      </c>
      <c r="S56" s="5">
        <v>0</v>
      </c>
      <c r="T56" s="2">
        <v>-450</v>
      </c>
      <c r="U56" t="s">
        <v>1</v>
      </c>
      <c r="V56" t="s">
        <v>361</v>
      </c>
      <c r="W56" s="5">
        <v>-450</v>
      </c>
    </row>
    <row r="57" spans="1:23" ht="15" x14ac:dyDescent="0.2">
      <c r="A57" t="s">
        <v>1009</v>
      </c>
      <c r="B57" s="1">
        <f>45903</f>
        <v>45903</v>
      </c>
      <c r="C57" t="s">
        <v>0</v>
      </c>
      <c r="D57">
        <v>108108</v>
      </c>
      <c r="E57" s="2">
        <v>25004301</v>
      </c>
      <c r="F57" s="2">
        <v>1</v>
      </c>
      <c r="G57" t="s">
        <v>1646</v>
      </c>
      <c r="H57" t="s">
        <v>361</v>
      </c>
      <c r="I57" t="s">
        <v>1647</v>
      </c>
      <c r="J57" t="s">
        <v>1326</v>
      </c>
      <c r="K57" s="3">
        <v>1</v>
      </c>
      <c r="L57" s="4">
        <v>450</v>
      </c>
      <c r="Q57" s="2">
        <v>0</v>
      </c>
      <c r="R57" s="5">
        <v>450</v>
      </c>
      <c r="S57" s="5">
        <v>0</v>
      </c>
      <c r="T57" s="2">
        <v>450</v>
      </c>
      <c r="U57" t="s">
        <v>1</v>
      </c>
      <c r="V57" t="s">
        <v>361</v>
      </c>
      <c r="W57" s="5">
        <v>450</v>
      </c>
    </row>
    <row r="58" spans="1:23" ht="15" x14ac:dyDescent="0.2">
      <c r="A58" t="s">
        <v>1009</v>
      </c>
      <c r="B58" s="1">
        <f>45903</f>
        <v>45903</v>
      </c>
      <c r="C58" t="s">
        <v>0</v>
      </c>
      <c r="D58">
        <v>108108</v>
      </c>
      <c r="E58" s="2">
        <v>25004302</v>
      </c>
      <c r="F58" s="2">
        <v>1</v>
      </c>
      <c r="G58" t="s">
        <v>1372</v>
      </c>
      <c r="H58" t="s">
        <v>1054</v>
      </c>
      <c r="I58" t="s">
        <v>1647</v>
      </c>
      <c r="J58" t="s">
        <v>1326</v>
      </c>
      <c r="K58" s="3">
        <v>1</v>
      </c>
      <c r="L58" s="4">
        <v>28.9</v>
      </c>
      <c r="O58" t="s">
        <v>2</v>
      </c>
      <c r="P58" t="s">
        <v>426</v>
      </c>
      <c r="Q58" s="2">
        <v>0</v>
      </c>
      <c r="R58" s="5">
        <v>28.9</v>
      </c>
      <c r="S58" s="5">
        <v>0</v>
      </c>
      <c r="T58" s="2">
        <v>29</v>
      </c>
      <c r="U58" t="s">
        <v>3</v>
      </c>
      <c r="V58" t="s">
        <v>1322</v>
      </c>
      <c r="W58" s="5">
        <v>24.29</v>
      </c>
    </row>
    <row r="59" spans="1:23" ht="15" x14ac:dyDescent="0.2">
      <c r="A59" t="s">
        <v>1009</v>
      </c>
      <c r="B59" s="1">
        <f>45903</f>
        <v>45903</v>
      </c>
      <c r="C59" t="s">
        <v>0</v>
      </c>
      <c r="D59">
        <v>108108</v>
      </c>
      <c r="E59" s="2">
        <v>25004303</v>
      </c>
      <c r="F59" s="2">
        <v>1</v>
      </c>
      <c r="G59" t="s">
        <v>1373</v>
      </c>
      <c r="H59" t="s">
        <v>1055</v>
      </c>
      <c r="I59" t="s">
        <v>1647</v>
      </c>
      <c r="J59" t="s">
        <v>1326</v>
      </c>
      <c r="K59" s="3">
        <v>1</v>
      </c>
      <c r="L59" s="4">
        <v>16.899999999999999</v>
      </c>
      <c r="O59" t="s">
        <v>2</v>
      </c>
      <c r="P59" t="s">
        <v>427</v>
      </c>
      <c r="Q59" s="2">
        <v>0</v>
      </c>
      <c r="R59" s="5">
        <v>16.899999999999999</v>
      </c>
      <c r="S59" s="5">
        <v>0</v>
      </c>
      <c r="T59" s="2">
        <v>17</v>
      </c>
      <c r="U59" t="s">
        <v>3</v>
      </c>
      <c r="V59" t="s">
        <v>1322</v>
      </c>
      <c r="W59" s="5">
        <v>14.2</v>
      </c>
    </row>
    <row r="60" spans="1:23" ht="15" x14ac:dyDescent="0.2">
      <c r="A60" t="s">
        <v>1009</v>
      </c>
      <c r="B60" s="1">
        <f>45903</f>
        <v>45903</v>
      </c>
      <c r="C60" t="s">
        <v>0</v>
      </c>
      <c r="D60">
        <v>108108</v>
      </c>
      <c r="E60" s="2">
        <v>25004304</v>
      </c>
      <c r="F60" s="2">
        <v>1</v>
      </c>
      <c r="G60" t="s">
        <v>1374</v>
      </c>
      <c r="H60" t="s">
        <v>1056</v>
      </c>
      <c r="I60" t="s">
        <v>1681</v>
      </c>
      <c r="J60" t="s">
        <v>1326</v>
      </c>
      <c r="K60" s="3">
        <v>1</v>
      </c>
      <c r="L60" s="4">
        <v>21.9</v>
      </c>
      <c r="O60" t="s">
        <v>2</v>
      </c>
      <c r="P60" t="s">
        <v>428</v>
      </c>
      <c r="Q60" s="2">
        <v>0</v>
      </c>
      <c r="R60" s="5">
        <v>21.9</v>
      </c>
      <c r="S60" s="5">
        <v>0</v>
      </c>
      <c r="T60" s="2">
        <v>22</v>
      </c>
      <c r="U60" t="s">
        <v>3</v>
      </c>
      <c r="V60" t="s">
        <v>37</v>
      </c>
      <c r="W60" s="5">
        <v>33.44</v>
      </c>
    </row>
    <row r="61" spans="1:23" ht="15" x14ac:dyDescent="0.2">
      <c r="A61" t="s">
        <v>1009</v>
      </c>
      <c r="B61" s="1">
        <f>45903</f>
        <v>45903</v>
      </c>
      <c r="C61" t="s">
        <v>0</v>
      </c>
      <c r="D61">
        <v>108108</v>
      </c>
      <c r="E61" s="2">
        <v>25004304</v>
      </c>
      <c r="F61" s="2">
        <v>2</v>
      </c>
      <c r="G61" t="s">
        <v>1358</v>
      </c>
      <c r="H61" t="s">
        <v>1040</v>
      </c>
      <c r="I61" t="s">
        <v>1681</v>
      </c>
      <c r="J61" t="s">
        <v>1326</v>
      </c>
      <c r="K61" s="3">
        <v>1</v>
      </c>
      <c r="L61" s="4">
        <v>17.899999999999999</v>
      </c>
      <c r="O61" t="s">
        <v>2</v>
      </c>
      <c r="P61" t="s">
        <v>428</v>
      </c>
      <c r="Q61" s="2">
        <v>0</v>
      </c>
      <c r="R61" s="5">
        <v>17.899999999999999</v>
      </c>
      <c r="S61" s="5">
        <v>0</v>
      </c>
      <c r="T61" s="2">
        <v>18</v>
      </c>
      <c r="U61" t="s">
        <v>3</v>
      </c>
      <c r="V61" t="s">
        <v>37</v>
      </c>
      <c r="W61" s="5">
        <v>33.44</v>
      </c>
    </row>
    <row r="62" spans="1:23" ht="15" x14ac:dyDescent="0.2">
      <c r="A62" t="s">
        <v>1009</v>
      </c>
      <c r="B62" s="1">
        <f>45903</f>
        <v>45903</v>
      </c>
      <c r="C62" t="s">
        <v>0</v>
      </c>
      <c r="D62">
        <v>108108</v>
      </c>
      <c r="E62" s="2">
        <v>25004305</v>
      </c>
      <c r="F62" s="2">
        <v>1</v>
      </c>
      <c r="G62" t="s">
        <v>1375</v>
      </c>
      <c r="H62" t="s">
        <v>1057</v>
      </c>
      <c r="I62" t="s">
        <v>1682</v>
      </c>
      <c r="J62" t="s">
        <v>1326</v>
      </c>
      <c r="K62" s="3">
        <v>1</v>
      </c>
      <c r="L62" s="4">
        <v>140</v>
      </c>
      <c r="O62" t="s">
        <v>2</v>
      </c>
      <c r="P62" t="s">
        <v>429</v>
      </c>
      <c r="Q62" s="2">
        <v>20</v>
      </c>
      <c r="R62" s="5">
        <v>175</v>
      </c>
      <c r="S62" s="5">
        <v>35</v>
      </c>
      <c r="T62" s="2">
        <v>140</v>
      </c>
      <c r="U62" t="s">
        <v>3</v>
      </c>
      <c r="V62" t="s">
        <v>38</v>
      </c>
      <c r="W62" s="5">
        <v>117.65</v>
      </c>
    </row>
    <row r="63" spans="1:23" ht="15" x14ac:dyDescent="0.2">
      <c r="A63" t="s">
        <v>1009</v>
      </c>
      <c r="B63" s="1">
        <f>45903</f>
        <v>45903</v>
      </c>
      <c r="C63" t="s">
        <v>0</v>
      </c>
      <c r="D63">
        <v>108108</v>
      </c>
      <c r="E63" s="2">
        <v>25004306</v>
      </c>
      <c r="F63" s="2">
        <v>1</v>
      </c>
      <c r="G63" t="s">
        <v>1376</v>
      </c>
      <c r="H63" t="s">
        <v>1058</v>
      </c>
      <c r="I63" t="s">
        <v>1683</v>
      </c>
      <c r="J63" t="s">
        <v>1326</v>
      </c>
      <c r="K63" s="3">
        <v>1</v>
      </c>
      <c r="L63" s="4">
        <v>67.92</v>
      </c>
      <c r="O63" t="s">
        <v>2</v>
      </c>
      <c r="P63" t="s">
        <v>430</v>
      </c>
      <c r="Q63" s="2">
        <v>20</v>
      </c>
      <c r="R63" s="5">
        <v>84.9</v>
      </c>
      <c r="S63" s="5">
        <v>16.98</v>
      </c>
      <c r="T63" s="2">
        <v>68</v>
      </c>
      <c r="U63" t="s">
        <v>3</v>
      </c>
      <c r="V63" t="s">
        <v>39</v>
      </c>
      <c r="W63" s="5">
        <v>57.08</v>
      </c>
    </row>
    <row r="64" spans="1:23" ht="15" x14ac:dyDescent="0.2">
      <c r="A64" t="s">
        <v>1009</v>
      </c>
      <c r="B64" s="1">
        <f>45903</f>
        <v>45903</v>
      </c>
      <c r="C64" t="s">
        <v>0</v>
      </c>
      <c r="D64">
        <v>108108</v>
      </c>
      <c r="E64" s="2">
        <v>25004307</v>
      </c>
      <c r="F64" s="2">
        <v>1</v>
      </c>
      <c r="G64" t="s">
        <v>1377</v>
      </c>
      <c r="H64" t="s">
        <v>1059</v>
      </c>
      <c r="I64" t="s">
        <v>1684</v>
      </c>
      <c r="J64" t="s">
        <v>1326</v>
      </c>
      <c r="K64" s="3">
        <v>1</v>
      </c>
      <c r="L64" s="4">
        <v>30.9</v>
      </c>
      <c r="O64" t="s">
        <v>2</v>
      </c>
      <c r="P64" t="s">
        <v>431</v>
      </c>
      <c r="Q64" s="2">
        <v>0</v>
      </c>
      <c r="R64" s="5">
        <v>30.9</v>
      </c>
      <c r="S64" s="5">
        <v>0</v>
      </c>
      <c r="T64" s="2">
        <v>31</v>
      </c>
      <c r="U64" t="s">
        <v>3</v>
      </c>
      <c r="V64" t="s">
        <v>40</v>
      </c>
      <c r="W64" s="5">
        <v>30.17</v>
      </c>
    </row>
    <row r="65" spans="1:23" ht="15" x14ac:dyDescent="0.2">
      <c r="A65" t="s">
        <v>1009</v>
      </c>
      <c r="B65" s="1">
        <f>45903</f>
        <v>45903</v>
      </c>
      <c r="C65" t="s">
        <v>0</v>
      </c>
      <c r="D65">
        <v>108108</v>
      </c>
      <c r="E65" s="2">
        <v>25004307</v>
      </c>
      <c r="F65" s="2">
        <v>2</v>
      </c>
      <c r="G65" t="s">
        <v>1332</v>
      </c>
      <c r="H65" t="s">
        <v>362</v>
      </c>
      <c r="I65" t="s">
        <v>1684</v>
      </c>
      <c r="J65" t="s">
        <v>1326</v>
      </c>
      <c r="K65" s="3">
        <v>1</v>
      </c>
      <c r="L65" s="4">
        <v>5</v>
      </c>
      <c r="O65" t="s">
        <v>2</v>
      </c>
      <c r="P65" t="s">
        <v>431</v>
      </c>
      <c r="Q65" s="2">
        <v>0</v>
      </c>
      <c r="R65" s="5">
        <v>5</v>
      </c>
      <c r="S65" s="5">
        <v>0</v>
      </c>
      <c r="T65" s="2">
        <v>5</v>
      </c>
      <c r="U65" t="s">
        <v>3</v>
      </c>
      <c r="V65" t="s">
        <v>40</v>
      </c>
      <c r="W65" s="5">
        <v>30.17</v>
      </c>
    </row>
    <row r="66" spans="1:23" ht="15" x14ac:dyDescent="0.2">
      <c r="A66" t="s">
        <v>1009</v>
      </c>
      <c r="B66" s="1">
        <f>45903</f>
        <v>45903</v>
      </c>
      <c r="C66" t="s">
        <v>0</v>
      </c>
      <c r="D66">
        <v>108108</v>
      </c>
      <c r="E66" s="2">
        <v>25004308</v>
      </c>
      <c r="F66" s="2">
        <v>1</v>
      </c>
      <c r="G66" t="s">
        <v>1378</v>
      </c>
      <c r="H66" t="s">
        <v>1060</v>
      </c>
      <c r="I66" t="s">
        <v>1685</v>
      </c>
      <c r="J66" t="s">
        <v>1326</v>
      </c>
      <c r="K66" s="3">
        <v>1</v>
      </c>
      <c r="L66" s="4">
        <v>149</v>
      </c>
      <c r="O66" t="s">
        <v>2</v>
      </c>
      <c r="P66" t="s">
        <v>432</v>
      </c>
      <c r="Q66" s="2">
        <v>0</v>
      </c>
      <c r="R66" s="5">
        <v>149</v>
      </c>
      <c r="S66" s="5">
        <v>0</v>
      </c>
      <c r="T66" s="2">
        <v>149</v>
      </c>
      <c r="U66" t="s">
        <v>3</v>
      </c>
      <c r="V66" t="s">
        <v>41</v>
      </c>
      <c r="W66" s="5">
        <v>125.21</v>
      </c>
    </row>
    <row r="67" spans="1:23" ht="15" x14ac:dyDescent="0.2">
      <c r="A67" t="s">
        <v>1009</v>
      </c>
      <c r="B67" s="1">
        <f>45903</f>
        <v>45903</v>
      </c>
      <c r="C67" t="s">
        <v>0</v>
      </c>
      <c r="D67">
        <v>108108</v>
      </c>
      <c r="E67" s="2">
        <v>25004309</v>
      </c>
      <c r="F67" s="2">
        <v>1</v>
      </c>
      <c r="G67" t="s">
        <v>1379</v>
      </c>
      <c r="H67" t="s">
        <v>1061</v>
      </c>
      <c r="I67" t="s">
        <v>1686</v>
      </c>
      <c r="J67" t="s">
        <v>1326</v>
      </c>
      <c r="K67" s="3">
        <v>2</v>
      </c>
      <c r="L67" s="4">
        <v>12</v>
      </c>
      <c r="O67" t="s">
        <v>2</v>
      </c>
      <c r="P67" t="s">
        <v>433</v>
      </c>
      <c r="Q67" s="2">
        <v>50</v>
      </c>
      <c r="R67" s="5">
        <v>12</v>
      </c>
      <c r="S67" s="5">
        <v>12</v>
      </c>
      <c r="T67" s="2">
        <v>6</v>
      </c>
      <c r="U67" t="s">
        <v>3</v>
      </c>
      <c r="V67" t="s">
        <v>42</v>
      </c>
      <c r="W67" s="5">
        <v>35.21</v>
      </c>
    </row>
    <row r="68" spans="1:23" ht="15" x14ac:dyDescent="0.2">
      <c r="A68" t="s">
        <v>1009</v>
      </c>
      <c r="B68" s="1">
        <f>45903</f>
        <v>45903</v>
      </c>
      <c r="C68" t="s">
        <v>0</v>
      </c>
      <c r="D68">
        <v>108108</v>
      </c>
      <c r="E68" s="2">
        <v>25004309</v>
      </c>
      <c r="F68" s="2">
        <v>2</v>
      </c>
      <c r="G68" t="s">
        <v>1380</v>
      </c>
      <c r="H68" t="s">
        <v>1062</v>
      </c>
      <c r="I68" t="s">
        <v>1686</v>
      </c>
      <c r="J68" t="s">
        <v>1326</v>
      </c>
      <c r="K68" s="3">
        <v>1</v>
      </c>
      <c r="L68" s="4">
        <v>29.9</v>
      </c>
      <c r="O68" t="s">
        <v>2</v>
      </c>
      <c r="P68" t="s">
        <v>433</v>
      </c>
      <c r="Q68" s="2">
        <v>0</v>
      </c>
      <c r="R68" s="5">
        <v>29.9</v>
      </c>
      <c r="S68" s="5">
        <v>0</v>
      </c>
      <c r="T68" s="2">
        <v>30</v>
      </c>
      <c r="U68" t="s">
        <v>3</v>
      </c>
      <c r="V68" t="s">
        <v>42</v>
      </c>
      <c r="W68" s="5">
        <v>35.21</v>
      </c>
    </row>
    <row r="69" spans="1:23" ht="15" x14ac:dyDescent="0.2">
      <c r="A69" t="s">
        <v>1009</v>
      </c>
      <c r="B69" s="1">
        <f>45903</f>
        <v>45903</v>
      </c>
      <c r="C69" t="s">
        <v>0</v>
      </c>
      <c r="D69">
        <v>108108</v>
      </c>
      <c r="E69" s="2">
        <v>25004310</v>
      </c>
      <c r="F69" s="2">
        <v>1</v>
      </c>
      <c r="G69" t="s">
        <v>1381</v>
      </c>
      <c r="H69" t="s">
        <v>1063</v>
      </c>
      <c r="I69" t="s">
        <v>1687</v>
      </c>
      <c r="J69" t="s">
        <v>1326</v>
      </c>
      <c r="K69" s="3">
        <v>1</v>
      </c>
      <c r="L69" s="4">
        <v>21.9</v>
      </c>
      <c r="O69" t="s">
        <v>2</v>
      </c>
      <c r="P69" t="s">
        <v>434</v>
      </c>
      <c r="Q69" s="2">
        <v>0</v>
      </c>
      <c r="R69" s="5">
        <v>21.9</v>
      </c>
      <c r="S69" s="5">
        <v>0</v>
      </c>
      <c r="T69" s="2">
        <v>22</v>
      </c>
      <c r="U69" t="s">
        <v>3</v>
      </c>
      <c r="V69" t="s">
        <v>43</v>
      </c>
      <c r="W69" s="5">
        <v>18.399999999999999</v>
      </c>
    </row>
    <row r="70" spans="1:23" ht="15" x14ac:dyDescent="0.2">
      <c r="A70" t="s">
        <v>1009</v>
      </c>
      <c r="B70" s="1">
        <f>45903</f>
        <v>45903</v>
      </c>
      <c r="C70" t="s">
        <v>0</v>
      </c>
      <c r="D70">
        <v>108108</v>
      </c>
      <c r="E70" s="2">
        <v>25004311</v>
      </c>
      <c r="F70" s="2">
        <v>1</v>
      </c>
      <c r="G70" t="s">
        <v>1328</v>
      </c>
      <c r="H70" t="s">
        <v>1011</v>
      </c>
      <c r="I70" t="s">
        <v>1688</v>
      </c>
      <c r="J70" t="s">
        <v>1326</v>
      </c>
      <c r="K70" s="3">
        <v>1</v>
      </c>
      <c r="L70" s="4">
        <v>22.9</v>
      </c>
      <c r="O70" t="s">
        <v>2</v>
      </c>
      <c r="P70" t="s">
        <v>435</v>
      </c>
      <c r="Q70" s="2">
        <v>0</v>
      </c>
      <c r="R70" s="5">
        <v>22.9</v>
      </c>
      <c r="S70" s="5">
        <v>0</v>
      </c>
      <c r="T70" s="2">
        <v>23</v>
      </c>
      <c r="U70" t="s">
        <v>3</v>
      </c>
      <c r="V70" t="s">
        <v>44</v>
      </c>
      <c r="W70" s="5">
        <v>24.28</v>
      </c>
    </row>
    <row r="71" spans="1:23" ht="15" x14ac:dyDescent="0.2">
      <c r="A71" t="s">
        <v>1009</v>
      </c>
      <c r="B71" s="1">
        <f>45903</f>
        <v>45903</v>
      </c>
      <c r="C71" t="s">
        <v>0</v>
      </c>
      <c r="D71">
        <v>108108</v>
      </c>
      <c r="E71" s="2">
        <v>25004311</v>
      </c>
      <c r="F71" s="2">
        <v>2</v>
      </c>
      <c r="G71" t="s">
        <v>1382</v>
      </c>
      <c r="H71" t="s">
        <v>1064</v>
      </c>
      <c r="I71" t="s">
        <v>1688</v>
      </c>
      <c r="J71" t="s">
        <v>1326</v>
      </c>
      <c r="K71" s="3">
        <v>1</v>
      </c>
      <c r="L71" s="4">
        <v>6</v>
      </c>
      <c r="O71" t="s">
        <v>2</v>
      </c>
      <c r="P71" t="s">
        <v>435</v>
      </c>
      <c r="Q71" s="2">
        <v>0</v>
      </c>
      <c r="R71" s="5">
        <v>6</v>
      </c>
      <c r="S71" s="5">
        <v>0</v>
      </c>
      <c r="T71" s="2">
        <v>6</v>
      </c>
      <c r="U71" t="s">
        <v>3</v>
      </c>
      <c r="V71" t="s">
        <v>44</v>
      </c>
      <c r="W71" s="5">
        <v>24.28</v>
      </c>
    </row>
    <row r="72" spans="1:23" ht="15" x14ac:dyDescent="0.2">
      <c r="A72" t="s">
        <v>1009</v>
      </c>
      <c r="B72" s="1">
        <f>45903</f>
        <v>45903</v>
      </c>
      <c r="C72" t="s">
        <v>0</v>
      </c>
      <c r="D72">
        <v>108108</v>
      </c>
      <c r="E72" s="2">
        <v>25004312</v>
      </c>
      <c r="F72" s="2">
        <v>1</v>
      </c>
      <c r="G72" t="s">
        <v>1383</v>
      </c>
      <c r="H72" t="s">
        <v>1065</v>
      </c>
      <c r="I72" t="s">
        <v>1689</v>
      </c>
      <c r="J72" t="s">
        <v>1326</v>
      </c>
      <c r="K72" s="3">
        <v>1</v>
      </c>
      <c r="L72" s="4">
        <v>22.9</v>
      </c>
      <c r="O72" t="s">
        <v>2</v>
      </c>
      <c r="P72" t="s">
        <v>436</v>
      </c>
      <c r="Q72" s="2">
        <v>0</v>
      </c>
      <c r="R72" s="5">
        <v>22.9</v>
      </c>
      <c r="S72" s="5">
        <v>0</v>
      </c>
      <c r="T72" s="2">
        <v>23</v>
      </c>
      <c r="U72" t="s">
        <v>3</v>
      </c>
      <c r="V72" t="s">
        <v>45</v>
      </c>
      <c r="W72" s="5">
        <v>23.44</v>
      </c>
    </row>
    <row r="73" spans="1:23" ht="15" x14ac:dyDescent="0.2">
      <c r="A73" t="s">
        <v>1009</v>
      </c>
      <c r="B73" s="1">
        <f>45903</f>
        <v>45903</v>
      </c>
      <c r="C73" t="s">
        <v>0</v>
      </c>
      <c r="D73">
        <v>108108</v>
      </c>
      <c r="E73" s="2">
        <v>25004312</v>
      </c>
      <c r="F73" s="2">
        <v>2</v>
      </c>
      <c r="G73" t="s">
        <v>1332</v>
      </c>
      <c r="H73" t="s">
        <v>362</v>
      </c>
      <c r="I73" t="s">
        <v>1689</v>
      </c>
      <c r="J73" t="s">
        <v>1326</v>
      </c>
      <c r="K73" s="3">
        <v>1</v>
      </c>
      <c r="L73" s="4">
        <v>5</v>
      </c>
      <c r="O73" t="s">
        <v>2</v>
      </c>
      <c r="P73" t="s">
        <v>436</v>
      </c>
      <c r="Q73" s="2">
        <v>0</v>
      </c>
      <c r="R73" s="5">
        <v>5</v>
      </c>
      <c r="S73" s="5">
        <v>0</v>
      </c>
      <c r="T73" s="2">
        <v>5</v>
      </c>
      <c r="U73" t="s">
        <v>3</v>
      </c>
      <c r="V73" t="s">
        <v>45</v>
      </c>
      <c r="W73" s="5">
        <v>23.44</v>
      </c>
    </row>
    <row r="74" spans="1:23" ht="15" x14ac:dyDescent="0.2">
      <c r="A74" t="s">
        <v>1009</v>
      </c>
      <c r="B74" s="1">
        <f>45903</f>
        <v>45903</v>
      </c>
      <c r="C74" t="s">
        <v>0</v>
      </c>
      <c r="D74">
        <v>108108</v>
      </c>
      <c r="E74" s="2">
        <v>25004313</v>
      </c>
      <c r="F74" s="2">
        <v>1</v>
      </c>
      <c r="G74" t="s">
        <v>1384</v>
      </c>
      <c r="H74" t="s">
        <v>1066</v>
      </c>
      <c r="I74" t="s">
        <v>1690</v>
      </c>
      <c r="J74" t="s">
        <v>1326</v>
      </c>
      <c r="K74" s="3">
        <v>1</v>
      </c>
      <c r="L74" s="4">
        <v>28.9</v>
      </c>
      <c r="O74" t="s">
        <v>2</v>
      </c>
      <c r="P74" t="s">
        <v>437</v>
      </c>
      <c r="Q74" s="2">
        <v>0</v>
      </c>
      <c r="R74" s="5">
        <v>28.9</v>
      </c>
      <c r="S74" s="5">
        <v>0</v>
      </c>
      <c r="T74" s="2">
        <v>29</v>
      </c>
      <c r="U74" t="s">
        <v>3</v>
      </c>
      <c r="V74" t="s">
        <v>46</v>
      </c>
      <c r="W74" s="5">
        <v>24.29</v>
      </c>
    </row>
    <row r="75" spans="1:23" ht="15" x14ac:dyDescent="0.2">
      <c r="A75" t="s">
        <v>1009</v>
      </c>
      <c r="B75" s="1">
        <f>45903</f>
        <v>45903</v>
      </c>
      <c r="C75" t="s">
        <v>0</v>
      </c>
      <c r="D75">
        <v>108108</v>
      </c>
      <c r="E75" s="2">
        <v>25004314</v>
      </c>
      <c r="F75" s="2">
        <v>1</v>
      </c>
      <c r="G75" t="s">
        <v>1385</v>
      </c>
      <c r="H75" t="s">
        <v>1067</v>
      </c>
      <c r="I75" t="s">
        <v>1661</v>
      </c>
      <c r="J75" t="s">
        <v>1323</v>
      </c>
      <c r="K75" s="3">
        <v>1</v>
      </c>
      <c r="L75" s="4">
        <v>24</v>
      </c>
      <c r="O75" t="s">
        <v>2</v>
      </c>
      <c r="P75" t="s">
        <v>438</v>
      </c>
      <c r="Q75" s="2">
        <v>0</v>
      </c>
      <c r="R75" s="5">
        <v>24</v>
      </c>
      <c r="S75" s="5">
        <v>0</v>
      </c>
      <c r="T75" s="2">
        <v>24</v>
      </c>
      <c r="U75" t="s">
        <v>3</v>
      </c>
      <c r="V75" t="s">
        <v>17</v>
      </c>
      <c r="W75" s="5">
        <v>20.170000000000002</v>
      </c>
    </row>
    <row r="76" spans="1:23" ht="15" x14ac:dyDescent="0.2">
      <c r="A76" t="s">
        <v>1009</v>
      </c>
      <c r="B76" s="1">
        <f>45903</f>
        <v>45903</v>
      </c>
      <c r="C76" t="s">
        <v>0</v>
      </c>
      <c r="D76">
        <v>108108</v>
      </c>
      <c r="E76" s="2">
        <v>25004315</v>
      </c>
      <c r="F76" s="2">
        <v>1</v>
      </c>
      <c r="G76" t="s">
        <v>1386</v>
      </c>
      <c r="H76" t="s">
        <v>1068</v>
      </c>
      <c r="I76" t="s">
        <v>1691</v>
      </c>
      <c r="J76" t="s">
        <v>1323</v>
      </c>
      <c r="K76" s="3">
        <v>1</v>
      </c>
      <c r="L76" s="4">
        <v>23.9</v>
      </c>
      <c r="O76" t="s">
        <v>2</v>
      </c>
      <c r="P76" t="s">
        <v>439</v>
      </c>
      <c r="Q76" s="2">
        <v>0</v>
      </c>
      <c r="R76" s="5">
        <v>23.9</v>
      </c>
      <c r="S76" s="5">
        <v>0</v>
      </c>
      <c r="T76" s="2">
        <v>24</v>
      </c>
      <c r="U76" t="s">
        <v>3</v>
      </c>
      <c r="V76" t="s">
        <v>47</v>
      </c>
      <c r="W76" s="5">
        <v>40.159999999999997</v>
      </c>
    </row>
    <row r="77" spans="1:23" ht="15" x14ac:dyDescent="0.2">
      <c r="A77" t="s">
        <v>1009</v>
      </c>
      <c r="B77" s="1">
        <f>45903</f>
        <v>45903</v>
      </c>
      <c r="C77" t="s">
        <v>0</v>
      </c>
      <c r="D77">
        <v>108108</v>
      </c>
      <c r="E77" s="2">
        <v>25004315</v>
      </c>
      <c r="F77" s="2">
        <v>2</v>
      </c>
      <c r="G77" t="s">
        <v>1386</v>
      </c>
      <c r="H77" t="s">
        <v>1068</v>
      </c>
      <c r="I77" t="s">
        <v>1691</v>
      </c>
      <c r="J77" t="s">
        <v>1323</v>
      </c>
      <c r="K77" s="3">
        <v>1</v>
      </c>
      <c r="L77" s="4">
        <v>23.9</v>
      </c>
      <c r="O77" t="s">
        <v>2</v>
      </c>
      <c r="P77" t="s">
        <v>439</v>
      </c>
      <c r="Q77" s="2">
        <v>0</v>
      </c>
      <c r="R77" s="5">
        <v>23.9</v>
      </c>
      <c r="S77" s="5">
        <v>0</v>
      </c>
      <c r="T77" s="2">
        <v>24</v>
      </c>
      <c r="U77" t="s">
        <v>3</v>
      </c>
      <c r="V77" t="s">
        <v>47</v>
      </c>
      <c r="W77" s="5">
        <v>40.159999999999997</v>
      </c>
    </row>
    <row r="78" spans="1:23" ht="15" x14ac:dyDescent="0.2">
      <c r="A78" t="s">
        <v>1009</v>
      </c>
      <c r="B78" s="1">
        <f>45903</f>
        <v>45903</v>
      </c>
      <c r="C78" t="s">
        <v>0</v>
      </c>
      <c r="D78">
        <v>108108</v>
      </c>
      <c r="E78" s="2">
        <v>25004316</v>
      </c>
      <c r="F78" s="2">
        <v>1</v>
      </c>
      <c r="G78" t="s">
        <v>1387</v>
      </c>
      <c r="H78" t="s">
        <v>1069</v>
      </c>
      <c r="I78" t="s">
        <v>1692</v>
      </c>
      <c r="J78" t="s">
        <v>1323</v>
      </c>
      <c r="K78" s="3">
        <v>1</v>
      </c>
      <c r="L78" s="4">
        <v>26.9</v>
      </c>
      <c r="O78" t="s">
        <v>2</v>
      </c>
      <c r="P78" t="s">
        <v>440</v>
      </c>
      <c r="Q78" s="2">
        <v>0</v>
      </c>
      <c r="R78" s="5">
        <v>26.9</v>
      </c>
      <c r="S78" s="5">
        <v>0</v>
      </c>
      <c r="T78" s="2">
        <v>27</v>
      </c>
      <c r="U78" t="s">
        <v>3</v>
      </c>
      <c r="V78" t="s">
        <v>48</v>
      </c>
      <c r="W78" s="5">
        <v>22.61</v>
      </c>
    </row>
    <row r="79" spans="1:23" ht="15" x14ac:dyDescent="0.2">
      <c r="A79" t="s">
        <v>1009</v>
      </c>
      <c r="B79" s="1">
        <f>45903</f>
        <v>45903</v>
      </c>
      <c r="C79" t="s">
        <v>0</v>
      </c>
      <c r="D79">
        <v>108108</v>
      </c>
      <c r="E79" s="2">
        <v>25004317</v>
      </c>
      <c r="F79" s="2">
        <v>1</v>
      </c>
      <c r="G79" t="s">
        <v>1388</v>
      </c>
      <c r="H79" t="s">
        <v>1070</v>
      </c>
      <c r="I79" t="s">
        <v>1693</v>
      </c>
      <c r="J79" t="s">
        <v>1323</v>
      </c>
      <c r="K79" s="3">
        <v>1</v>
      </c>
      <c r="L79" s="4">
        <v>31.9</v>
      </c>
      <c r="O79" t="s">
        <v>2</v>
      </c>
      <c r="P79" t="s">
        <v>441</v>
      </c>
      <c r="Q79" s="2">
        <v>0</v>
      </c>
      <c r="R79" s="5">
        <v>31.9</v>
      </c>
      <c r="S79" s="5">
        <v>0</v>
      </c>
      <c r="T79" s="2">
        <v>32</v>
      </c>
      <c r="U79" t="s">
        <v>3</v>
      </c>
      <c r="V79" t="s">
        <v>49</v>
      </c>
      <c r="W79" s="5">
        <v>26.81</v>
      </c>
    </row>
    <row r="80" spans="1:23" ht="15" x14ac:dyDescent="0.2">
      <c r="A80" t="s">
        <v>1009</v>
      </c>
      <c r="B80" s="1">
        <f>45903</f>
        <v>45903</v>
      </c>
      <c r="C80" t="s">
        <v>0</v>
      </c>
      <c r="D80">
        <v>108108</v>
      </c>
      <c r="E80" s="2">
        <v>25004318</v>
      </c>
      <c r="F80" s="2">
        <v>1</v>
      </c>
      <c r="G80" t="s">
        <v>1389</v>
      </c>
      <c r="H80" t="s">
        <v>1071</v>
      </c>
      <c r="I80" t="s">
        <v>1694</v>
      </c>
      <c r="J80" t="s">
        <v>1323</v>
      </c>
      <c r="K80" s="3">
        <v>1</v>
      </c>
      <c r="L80" s="4">
        <v>17.899999999999999</v>
      </c>
      <c r="O80" t="s">
        <v>2</v>
      </c>
      <c r="P80" t="s">
        <v>442</v>
      </c>
      <c r="Q80" s="2">
        <v>0</v>
      </c>
      <c r="R80" s="5">
        <v>17.899999999999999</v>
      </c>
      <c r="S80" s="5">
        <v>0</v>
      </c>
      <c r="T80" s="2">
        <v>18</v>
      </c>
      <c r="U80" t="s">
        <v>3</v>
      </c>
      <c r="V80" t="s">
        <v>50</v>
      </c>
      <c r="W80" s="5">
        <v>15.04</v>
      </c>
    </row>
    <row r="81" spans="1:23" ht="15" x14ac:dyDescent="0.2">
      <c r="A81" t="s">
        <v>1009</v>
      </c>
      <c r="B81" s="1">
        <f>45903</f>
        <v>45903</v>
      </c>
      <c r="C81" t="s">
        <v>0</v>
      </c>
      <c r="D81">
        <v>108108</v>
      </c>
      <c r="E81" s="2">
        <v>25004319</v>
      </c>
      <c r="F81" s="2">
        <v>1</v>
      </c>
      <c r="G81" t="s">
        <v>1390</v>
      </c>
      <c r="H81" t="s">
        <v>1072</v>
      </c>
      <c r="I81" t="s">
        <v>1647</v>
      </c>
      <c r="J81" t="s">
        <v>1323</v>
      </c>
      <c r="K81" s="3">
        <v>1</v>
      </c>
      <c r="L81" s="4">
        <v>17.899999999999999</v>
      </c>
      <c r="O81" t="s">
        <v>2</v>
      </c>
      <c r="P81" t="s">
        <v>443</v>
      </c>
      <c r="Q81" s="2">
        <v>0</v>
      </c>
      <c r="R81" s="5">
        <v>17.899999999999999</v>
      </c>
      <c r="S81" s="5">
        <v>0</v>
      </c>
      <c r="T81" s="2">
        <v>18</v>
      </c>
      <c r="U81" t="s">
        <v>3</v>
      </c>
      <c r="V81" t="s">
        <v>1322</v>
      </c>
      <c r="W81" s="5">
        <v>15.04</v>
      </c>
    </row>
    <row r="82" spans="1:23" ht="15" x14ac:dyDescent="0.2">
      <c r="A82" t="s">
        <v>1009</v>
      </c>
      <c r="B82" s="1">
        <f>45903</f>
        <v>45903</v>
      </c>
      <c r="C82" t="s">
        <v>0</v>
      </c>
      <c r="D82">
        <v>108108</v>
      </c>
      <c r="E82" s="2">
        <v>25004320</v>
      </c>
      <c r="F82" s="2">
        <v>1</v>
      </c>
      <c r="G82" t="s">
        <v>1391</v>
      </c>
      <c r="H82" t="s">
        <v>1073</v>
      </c>
      <c r="I82" t="s">
        <v>1695</v>
      </c>
      <c r="J82" t="s">
        <v>1323</v>
      </c>
      <c r="K82" s="3">
        <v>1</v>
      </c>
      <c r="L82" s="4">
        <v>22.9</v>
      </c>
      <c r="O82" t="s">
        <v>2</v>
      </c>
      <c r="P82" t="s">
        <v>444</v>
      </c>
      <c r="Q82" s="2">
        <v>0</v>
      </c>
      <c r="R82" s="5">
        <v>22.9</v>
      </c>
      <c r="S82" s="5">
        <v>0</v>
      </c>
      <c r="T82" s="2">
        <v>23</v>
      </c>
      <c r="U82" t="s">
        <v>3</v>
      </c>
      <c r="V82" t="s">
        <v>51</v>
      </c>
      <c r="W82" s="5">
        <v>19.239999999999998</v>
      </c>
    </row>
    <row r="83" spans="1:23" ht="15" x14ac:dyDescent="0.2">
      <c r="A83" t="s">
        <v>1009</v>
      </c>
      <c r="B83" s="1">
        <f>45903</f>
        <v>45903</v>
      </c>
      <c r="C83" t="s">
        <v>0</v>
      </c>
      <c r="D83">
        <v>108108</v>
      </c>
      <c r="E83" s="2">
        <v>25004321</v>
      </c>
      <c r="F83" s="2">
        <v>1</v>
      </c>
      <c r="G83" t="s">
        <v>1392</v>
      </c>
      <c r="H83" t="s">
        <v>1074</v>
      </c>
      <c r="I83" t="s">
        <v>1696</v>
      </c>
      <c r="J83" t="s">
        <v>1323</v>
      </c>
      <c r="K83" s="3">
        <v>1</v>
      </c>
      <c r="L83" s="4">
        <v>28.9</v>
      </c>
      <c r="O83" t="s">
        <v>2</v>
      </c>
      <c r="P83" t="s">
        <v>445</v>
      </c>
      <c r="Q83" s="2">
        <v>0</v>
      </c>
      <c r="R83" s="5">
        <v>28.9</v>
      </c>
      <c r="S83" s="5">
        <v>0</v>
      </c>
      <c r="T83" s="2">
        <v>29</v>
      </c>
      <c r="U83" t="s">
        <v>3</v>
      </c>
      <c r="V83" t="s">
        <v>52</v>
      </c>
      <c r="W83" s="5">
        <v>24.29</v>
      </c>
    </row>
    <row r="84" spans="1:23" ht="15" x14ac:dyDescent="0.2">
      <c r="A84" t="s">
        <v>1009</v>
      </c>
      <c r="B84" s="1">
        <f>45903</f>
        <v>45903</v>
      </c>
      <c r="C84" t="s">
        <v>0</v>
      </c>
      <c r="D84">
        <v>108108</v>
      </c>
      <c r="E84" s="2">
        <v>25004322</v>
      </c>
      <c r="F84" s="2">
        <v>1</v>
      </c>
      <c r="G84" t="s">
        <v>1393</v>
      </c>
      <c r="H84" t="s">
        <v>1075</v>
      </c>
      <c r="I84" t="s">
        <v>1697</v>
      </c>
      <c r="J84" t="s">
        <v>1323</v>
      </c>
      <c r="K84" s="3">
        <v>1</v>
      </c>
      <c r="L84" s="4">
        <v>33</v>
      </c>
      <c r="O84" t="s">
        <v>2</v>
      </c>
      <c r="P84" t="s">
        <v>446</v>
      </c>
      <c r="Q84" s="2">
        <v>0</v>
      </c>
      <c r="R84" s="5">
        <v>33</v>
      </c>
      <c r="S84" s="5">
        <v>0</v>
      </c>
      <c r="T84" s="2">
        <v>33</v>
      </c>
      <c r="U84" t="s">
        <v>3</v>
      </c>
      <c r="V84" t="s">
        <v>53</v>
      </c>
      <c r="W84" s="5">
        <v>27.73</v>
      </c>
    </row>
    <row r="85" spans="1:23" ht="15" x14ac:dyDescent="0.2">
      <c r="A85" t="s">
        <v>1009</v>
      </c>
      <c r="B85" s="1">
        <f>45903</f>
        <v>45903</v>
      </c>
      <c r="C85" t="s">
        <v>0</v>
      </c>
      <c r="D85">
        <v>108108</v>
      </c>
      <c r="E85" s="2">
        <v>25004323</v>
      </c>
      <c r="F85" s="2">
        <v>1</v>
      </c>
      <c r="G85" t="s">
        <v>1394</v>
      </c>
      <c r="H85" t="s">
        <v>1076</v>
      </c>
      <c r="I85" t="s">
        <v>1647</v>
      </c>
      <c r="J85" t="s">
        <v>1323</v>
      </c>
      <c r="K85" s="3">
        <v>1</v>
      </c>
      <c r="L85" s="4">
        <v>21.5</v>
      </c>
      <c r="O85" t="s">
        <v>2</v>
      </c>
      <c r="P85" t="s">
        <v>447</v>
      </c>
      <c r="Q85" s="2">
        <v>0</v>
      </c>
      <c r="R85" s="5">
        <v>21.5</v>
      </c>
      <c r="S85" s="5">
        <v>0</v>
      </c>
      <c r="T85" s="2">
        <v>22</v>
      </c>
      <c r="U85" t="s">
        <v>3</v>
      </c>
      <c r="V85" t="s">
        <v>1322</v>
      </c>
      <c r="W85" s="5">
        <v>18.07</v>
      </c>
    </row>
    <row r="86" spans="1:23" ht="15" x14ac:dyDescent="0.2">
      <c r="A86" t="s">
        <v>1009</v>
      </c>
      <c r="B86" s="1">
        <f>45903</f>
        <v>45903</v>
      </c>
      <c r="C86" t="s">
        <v>0</v>
      </c>
      <c r="D86">
        <v>108108</v>
      </c>
      <c r="E86" s="2">
        <v>25004324</v>
      </c>
      <c r="F86" s="2">
        <v>1</v>
      </c>
      <c r="G86" t="s">
        <v>1646</v>
      </c>
      <c r="H86" t="s">
        <v>361</v>
      </c>
      <c r="I86" t="s">
        <v>1647</v>
      </c>
      <c r="J86" t="s">
        <v>1323</v>
      </c>
      <c r="K86" s="3">
        <v>1</v>
      </c>
      <c r="L86" s="4">
        <v>-450</v>
      </c>
      <c r="Q86" s="2">
        <v>0</v>
      </c>
      <c r="R86" s="5">
        <v>-450</v>
      </c>
      <c r="S86" s="5">
        <v>0</v>
      </c>
      <c r="T86" s="2">
        <v>-450</v>
      </c>
      <c r="U86" t="s">
        <v>1</v>
      </c>
      <c r="V86" t="s">
        <v>361</v>
      </c>
      <c r="W86" s="5">
        <v>-450</v>
      </c>
    </row>
    <row r="87" spans="1:23" ht="15" x14ac:dyDescent="0.2">
      <c r="A87" t="s">
        <v>1009</v>
      </c>
      <c r="B87" s="1">
        <f>45904</f>
        <v>45904</v>
      </c>
      <c r="C87" t="s">
        <v>0</v>
      </c>
      <c r="D87">
        <v>108108</v>
      </c>
      <c r="E87" s="2">
        <v>25004325</v>
      </c>
      <c r="F87" s="2">
        <v>1</v>
      </c>
      <c r="G87" t="s">
        <v>1646</v>
      </c>
      <c r="H87" t="s">
        <v>361</v>
      </c>
      <c r="I87" t="s">
        <v>1647</v>
      </c>
      <c r="J87" t="s">
        <v>1326</v>
      </c>
      <c r="K87" s="3">
        <v>1</v>
      </c>
      <c r="L87" s="4">
        <v>450</v>
      </c>
      <c r="Q87" s="2">
        <v>0</v>
      </c>
      <c r="R87" s="5">
        <v>450</v>
      </c>
      <c r="S87" s="5">
        <v>0</v>
      </c>
      <c r="T87" s="2">
        <v>450</v>
      </c>
      <c r="U87" t="s">
        <v>1</v>
      </c>
      <c r="V87" t="s">
        <v>361</v>
      </c>
      <c r="W87" s="5">
        <v>450</v>
      </c>
    </row>
    <row r="88" spans="1:23" ht="15" x14ac:dyDescent="0.2">
      <c r="A88" t="s">
        <v>1009</v>
      </c>
      <c r="B88" s="1">
        <f>45904</f>
        <v>45904</v>
      </c>
      <c r="C88" t="s">
        <v>0</v>
      </c>
      <c r="D88">
        <v>108108</v>
      </c>
      <c r="E88" s="2">
        <v>25004326</v>
      </c>
      <c r="F88" s="2">
        <v>1</v>
      </c>
      <c r="G88" t="s">
        <v>1393</v>
      </c>
      <c r="H88" t="s">
        <v>1075</v>
      </c>
      <c r="I88" t="s">
        <v>1698</v>
      </c>
      <c r="J88" t="s">
        <v>1326</v>
      </c>
      <c r="K88" s="3">
        <v>1</v>
      </c>
      <c r="L88" s="4">
        <v>33</v>
      </c>
      <c r="O88" t="s">
        <v>2</v>
      </c>
      <c r="P88" t="s">
        <v>448</v>
      </c>
      <c r="Q88" s="2">
        <v>0</v>
      </c>
      <c r="R88" s="5">
        <v>33</v>
      </c>
      <c r="S88" s="5">
        <v>0</v>
      </c>
      <c r="T88" s="2">
        <v>33</v>
      </c>
      <c r="U88" t="s">
        <v>3</v>
      </c>
      <c r="V88" t="s">
        <v>54</v>
      </c>
      <c r="W88" s="5">
        <v>27.73</v>
      </c>
    </row>
    <row r="89" spans="1:23" ht="15" x14ac:dyDescent="0.2">
      <c r="A89" t="s">
        <v>1009</v>
      </c>
      <c r="B89" s="1">
        <f>45904</f>
        <v>45904</v>
      </c>
      <c r="C89" t="s">
        <v>0</v>
      </c>
      <c r="D89">
        <v>108108</v>
      </c>
      <c r="E89" s="2">
        <v>25004327</v>
      </c>
      <c r="F89" s="2">
        <v>1</v>
      </c>
      <c r="G89" t="s">
        <v>1395</v>
      </c>
      <c r="H89" t="s">
        <v>1077</v>
      </c>
      <c r="I89" t="s">
        <v>1699</v>
      </c>
      <c r="J89" t="s">
        <v>1326</v>
      </c>
      <c r="K89" s="3">
        <v>1</v>
      </c>
      <c r="L89" s="4">
        <v>132</v>
      </c>
      <c r="O89" t="s">
        <v>2</v>
      </c>
      <c r="P89" t="s">
        <v>449</v>
      </c>
      <c r="Q89" s="2">
        <v>20</v>
      </c>
      <c r="R89" s="5">
        <v>165</v>
      </c>
      <c r="S89" s="5">
        <v>33</v>
      </c>
      <c r="T89" s="2">
        <v>132</v>
      </c>
      <c r="U89" t="s">
        <v>3</v>
      </c>
      <c r="V89" t="s">
        <v>55</v>
      </c>
      <c r="W89" s="5">
        <v>110.92</v>
      </c>
    </row>
    <row r="90" spans="1:23" ht="15" x14ac:dyDescent="0.2">
      <c r="A90" t="s">
        <v>1009</v>
      </c>
      <c r="B90" s="1">
        <f>45904</f>
        <v>45904</v>
      </c>
      <c r="C90" t="s">
        <v>0</v>
      </c>
      <c r="D90">
        <v>108108</v>
      </c>
      <c r="E90" s="2">
        <v>25004327</v>
      </c>
      <c r="F90" s="2">
        <v>2</v>
      </c>
      <c r="G90" t="s">
        <v>1396</v>
      </c>
      <c r="H90" t="s">
        <v>1078</v>
      </c>
      <c r="I90" t="s">
        <v>1699</v>
      </c>
      <c r="J90" t="s">
        <v>1326</v>
      </c>
      <c r="K90" s="3">
        <v>1</v>
      </c>
      <c r="L90" s="4">
        <v>0</v>
      </c>
      <c r="O90" t="s">
        <v>2</v>
      </c>
      <c r="P90" t="s">
        <v>449</v>
      </c>
      <c r="Q90" s="2">
        <v>100</v>
      </c>
      <c r="R90" s="5">
        <v>12</v>
      </c>
      <c r="S90" s="5">
        <v>12</v>
      </c>
      <c r="T90" s="2">
        <v>0</v>
      </c>
      <c r="U90" t="s">
        <v>3</v>
      </c>
      <c r="V90" t="s">
        <v>55</v>
      </c>
      <c r="W90" s="5">
        <v>110.92</v>
      </c>
    </row>
    <row r="91" spans="1:23" ht="15" x14ac:dyDescent="0.2">
      <c r="A91" t="s">
        <v>1009</v>
      </c>
      <c r="B91" s="1">
        <f>45904</f>
        <v>45904</v>
      </c>
      <c r="C91" t="s">
        <v>0</v>
      </c>
      <c r="D91">
        <v>108108</v>
      </c>
      <c r="E91" s="2">
        <v>25004328</v>
      </c>
      <c r="F91" s="2">
        <v>1</v>
      </c>
      <c r="G91" t="s">
        <v>1397</v>
      </c>
      <c r="H91" t="s">
        <v>1079</v>
      </c>
      <c r="I91" t="s">
        <v>1647</v>
      </c>
      <c r="J91" t="s">
        <v>1326</v>
      </c>
      <c r="K91" s="3">
        <v>1</v>
      </c>
      <c r="L91" s="4">
        <v>29.9</v>
      </c>
      <c r="O91" t="s">
        <v>2</v>
      </c>
      <c r="P91" t="s">
        <v>450</v>
      </c>
      <c r="Q91" s="2">
        <v>0</v>
      </c>
      <c r="R91" s="5">
        <v>29.9</v>
      </c>
      <c r="S91" s="5">
        <v>0</v>
      </c>
      <c r="T91" s="2">
        <v>30</v>
      </c>
      <c r="U91" t="s">
        <v>3</v>
      </c>
      <c r="V91" t="s">
        <v>1322</v>
      </c>
      <c r="W91" s="5">
        <v>25.13</v>
      </c>
    </row>
    <row r="92" spans="1:23" ht="15" x14ac:dyDescent="0.2">
      <c r="A92" t="s">
        <v>1009</v>
      </c>
      <c r="B92" s="1">
        <f>45904</f>
        <v>45904</v>
      </c>
      <c r="C92" t="s">
        <v>0</v>
      </c>
      <c r="D92">
        <v>108108</v>
      </c>
      <c r="E92" s="2">
        <v>25004329</v>
      </c>
      <c r="F92" s="2">
        <v>1</v>
      </c>
      <c r="G92" t="s">
        <v>1398</v>
      </c>
      <c r="H92" t="s">
        <v>1080</v>
      </c>
      <c r="I92" t="s">
        <v>1700</v>
      </c>
      <c r="J92" t="s">
        <v>1326</v>
      </c>
      <c r="K92" s="3">
        <v>2</v>
      </c>
      <c r="L92" s="4">
        <v>46.24</v>
      </c>
      <c r="O92" t="s">
        <v>2</v>
      </c>
      <c r="P92" t="s">
        <v>451</v>
      </c>
      <c r="Q92" s="2">
        <v>20</v>
      </c>
      <c r="R92" s="5">
        <v>28.9</v>
      </c>
      <c r="S92" s="5">
        <v>11.56</v>
      </c>
      <c r="T92" s="2">
        <v>23</v>
      </c>
      <c r="U92" t="s">
        <v>3</v>
      </c>
      <c r="V92" t="s">
        <v>56</v>
      </c>
      <c r="W92" s="5">
        <v>76.98</v>
      </c>
    </row>
    <row r="93" spans="1:23" ht="15" x14ac:dyDescent="0.2">
      <c r="A93" t="s">
        <v>1009</v>
      </c>
      <c r="B93" s="1">
        <f>45904</f>
        <v>45904</v>
      </c>
      <c r="C93" t="s">
        <v>0</v>
      </c>
      <c r="D93">
        <v>108108</v>
      </c>
      <c r="E93" s="2">
        <v>25004329</v>
      </c>
      <c r="F93" s="2">
        <v>2</v>
      </c>
      <c r="G93" t="s">
        <v>1399</v>
      </c>
      <c r="H93" t="s">
        <v>1081</v>
      </c>
      <c r="I93" t="s">
        <v>1700</v>
      </c>
      <c r="J93" t="s">
        <v>1326</v>
      </c>
      <c r="K93" s="3">
        <v>3</v>
      </c>
      <c r="L93" s="4">
        <v>45.36</v>
      </c>
      <c r="O93" t="s">
        <v>2</v>
      </c>
      <c r="P93" t="s">
        <v>451</v>
      </c>
      <c r="Q93" s="2">
        <v>20</v>
      </c>
      <c r="R93" s="5">
        <v>18.899999999999999</v>
      </c>
      <c r="S93" s="5">
        <v>11.34</v>
      </c>
      <c r="T93" s="2">
        <v>15</v>
      </c>
      <c r="U93" t="s">
        <v>3</v>
      </c>
      <c r="V93" t="s">
        <v>56</v>
      </c>
      <c r="W93" s="5">
        <v>76.98</v>
      </c>
    </row>
    <row r="94" spans="1:23" ht="15" x14ac:dyDescent="0.2">
      <c r="A94" t="s">
        <v>1009</v>
      </c>
      <c r="B94" s="1">
        <f>45904</f>
        <v>45904</v>
      </c>
      <c r="C94" t="s">
        <v>0</v>
      </c>
      <c r="D94">
        <v>108108</v>
      </c>
      <c r="E94" s="2">
        <v>25004330</v>
      </c>
      <c r="F94" s="2">
        <v>1</v>
      </c>
      <c r="G94" t="s">
        <v>1332</v>
      </c>
      <c r="H94" t="s">
        <v>362</v>
      </c>
      <c r="I94" t="s">
        <v>1647</v>
      </c>
      <c r="J94" t="s">
        <v>1326</v>
      </c>
      <c r="K94" s="3">
        <v>1</v>
      </c>
      <c r="L94" s="4">
        <v>5</v>
      </c>
      <c r="O94" t="s">
        <v>2</v>
      </c>
      <c r="P94" t="s">
        <v>452</v>
      </c>
      <c r="Q94" s="2">
        <v>0</v>
      </c>
      <c r="R94" s="5">
        <v>5</v>
      </c>
      <c r="S94" s="5">
        <v>0</v>
      </c>
      <c r="T94" s="2">
        <v>5</v>
      </c>
      <c r="U94" t="s">
        <v>3</v>
      </c>
      <c r="V94" t="s">
        <v>1322</v>
      </c>
      <c r="W94" s="5">
        <v>22.6</v>
      </c>
    </row>
    <row r="95" spans="1:23" ht="15" x14ac:dyDescent="0.2">
      <c r="A95" t="s">
        <v>1009</v>
      </c>
      <c r="B95" s="1">
        <f>45904</f>
        <v>45904</v>
      </c>
      <c r="C95" t="s">
        <v>0</v>
      </c>
      <c r="D95">
        <v>108108</v>
      </c>
      <c r="E95" s="2">
        <v>25004330</v>
      </c>
      <c r="F95" s="2">
        <v>2</v>
      </c>
      <c r="G95" t="s">
        <v>1400</v>
      </c>
      <c r="H95" t="s">
        <v>1082</v>
      </c>
      <c r="I95" t="s">
        <v>1647</v>
      </c>
      <c r="J95" t="s">
        <v>1326</v>
      </c>
      <c r="K95" s="3">
        <v>1</v>
      </c>
      <c r="L95" s="4">
        <v>21.9</v>
      </c>
      <c r="O95" t="s">
        <v>2</v>
      </c>
      <c r="P95" t="s">
        <v>452</v>
      </c>
      <c r="Q95" s="2">
        <v>0</v>
      </c>
      <c r="R95" s="5">
        <v>21.9</v>
      </c>
      <c r="S95" s="5">
        <v>0</v>
      </c>
      <c r="T95" s="2">
        <v>22</v>
      </c>
      <c r="U95" t="s">
        <v>3</v>
      </c>
      <c r="V95" t="s">
        <v>1322</v>
      </c>
      <c r="W95" s="5">
        <v>22.6</v>
      </c>
    </row>
    <row r="96" spans="1:23" ht="15" x14ac:dyDescent="0.2">
      <c r="A96" t="s">
        <v>1009</v>
      </c>
      <c r="B96" s="1">
        <f>45904</f>
        <v>45904</v>
      </c>
      <c r="C96" t="s">
        <v>0</v>
      </c>
      <c r="D96">
        <v>108108</v>
      </c>
      <c r="E96" s="2">
        <v>25004331</v>
      </c>
      <c r="F96" s="2">
        <v>1</v>
      </c>
      <c r="G96" t="s">
        <v>1332</v>
      </c>
      <c r="H96" t="s">
        <v>362</v>
      </c>
      <c r="I96" t="s">
        <v>1701</v>
      </c>
      <c r="J96" t="s">
        <v>1326</v>
      </c>
      <c r="K96" s="3">
        <v>1</v>
      </c>
      <c r="L96" s="4">
        <v>5</v>
      </c>
      <c r="O96" t="s">
        <v>2</v>
      </c>
      <c r="P96" t="s">
        <v>453</v>
      </c>
      <c r="Q96" s="2">
        <v>0</v>
      </c>
      <c r="R96" s="5">
        <v>5</v>
      </c>
      <c r="S96" s="5">
        <v>0</v>
      </c>
      <c r="T96" s="2">
        <v>5</v>
      </c>
      <c r="U96" t="s">
        <v>3</v>
      </c>
      <c r="V96" t="s">
        <v>57</v>
      </c>
      <c r="W96" s="5">
        <v>27.64</v>
      </c>
    </row>
    <row r="97" spans="1:23" ht="15" x14ac:dyDescent="0.2">
      <c r="A97" t="s">
        <v>1009</v>
      </c>
      <c r="B97" s="1">
        <f>45904</f>
        <v>45904</v>
      </c>
      <c r="C97" t="s">
        <v>0</v>
      </c>
      <c r="D97">
        <v>108108</v>
      </c>
      <c r="E97" s="2">
        <v>25004331</v>
      </c>
      <c r="F97" s="2">
        <v>2</v>
      </c>
      <c r="G97" t="s">
        <v>1400</v>
      </c>
      <c r="H97" t="s">
        <v>1082</v>
      </c>
      <c r="I97" t="s">
        <v>1701</v>
      </c>
      <c r="J97" t="s">
        <v>1326</v>
      </c>
      <c r="K97" s="3">
        <v>1</v>
      </c>
      <c r="L97" s="4">
        <v>21.9</v>
      </c>
      <c r="O97" t="s">
        <v>2</v>
      </c>
      <c r="P97" t="s">
        <v>453</v>
      </c>
      <c r="Q97" s="2">
        <v>0</v>
      </c>
      <c r="R97" s="5">
        <v>21.9</v>
      </c>
      <c r="S97" s="5">
        <v>0</v>
      </c>
      <c r="T97" s="2">
        <v>22</v>
      </c>
      <c r="U97" t="s">
        <v>3</v>
      </c>
      <c r="V97" t="s">
        <v>57</v>
      </c>
      <c r="W97" s="5">
        <v>27.64</v>
      </c>
    </row>
    <row r="98" spans="1:23" ht="15" x14ac:dyDescent="0.2">
      <c r="A98" t="s">
        <v>1009</v>
      </c>
      <c r="B98" s="1">
        <f>45904</f>
        <v>45904</v>
      </c>
      <c r="C98" t="s">
        <v>0</v>
      </c>
      <c r="D98">
        <v>108108</v>
      </c>
      <c r="E98" s="2">
        <v>25004331</v>
      </c>
      <c r="F98" s="2">
        <v>3</v>
      </c>
      <c r="G98" t="s">
        <v>1401</v>
      </c>
      <c r="H98" t="s">
        <v>1083</v>
      </c>
      <c r="I98" t="s">
        <v>1701</v>
      </c>
      <c r="J98" t="s">
        <v>1326</v>
      </c>
      <c r="K98" s="3">
        <v>1</v>
      </c>
      <c r="L98" s="4">
        <v>6</v>
      </c>
      <c r="O98" t="s">
        <v>2</v>
      </c>
      <c r="P98" t="s">
        <v>453</v>
      </c>
      <c r="Q98" s="2">
        <v>0</v>
      </c>
      <c r="R98" s="5">
        <v>6</v>
      </c>
      <c r="S98" s="5">
        <v>0</v>
      </c>
      <c r="T98" s="2">
        <v>6</v>
      </c>
      <c r="U98" t="s">
        <v>3</v>
      </c>
      <c r="V98" t="s">
        <v>57</v>
      </c>
      <c r="W98" s="5">
        <v>27.64</v>
      </c>
    </row>
    <row r="99" spans="1:23" ht="15" x14ac:dyDescent="0.2">
      <c r="A99" t="s">
        <v>1009</v>
      </c>
      <c r="B99" s="1">
        <f>45904</f>
        <v>45904</v>
      </c>
      <c r="C99" t="s">
        <v>0</v>
      </c>
      <c r="D99">
        <v>108108</v>
      </c>
      <c r="E99" s="2">
        <v>25004332</v>
      </c>
      <c r="F99" s="2">
        <v>1</v>
      </c>
      <c r="G99" t="s">
        <v>1332</v>
      </c>
      <c r="H99" t="s">
        <v>362</v>
      </c>
      <c r="I99" t="s">
        <v>1702</v>
      </c>
      <c r="J99" t="s">
        <v>1326</v>
      </c>
      <c r="K99" s="3">
        <v>10</v>
      </c>
      <c r="L99" s="4">
        <v>45</v>
      </c>
      <c r="O99" t="s">
        <v>2</v>
      </c>
      <c r="P99" t="s">
        <v>454</v>
      </c>
      <c r="Q99" s="2">
        <v>10</v>
      </c>
      <c r="R99" s="5">
        <v>5</v>
      </c>
      <c r="S99" s="5">
        <v>5</v>
      </c>
      <c r="T99" s="2">
        <v>5</v>
      </c>
      <c r="U99" t="s">
        <v>3</v>
      </c>
      <c r="V99" t="s">
        <v>58</v>
      </c>
      <c r="W99" s="5">
        <v>203.45</v>
      </c>
    </row>
    <row r="100" spans="1:23" ht="15" x14ac:dyDescent="0.2">
      <c r="A100" t="s">
        <v>1009</v>
      </c>
      <c r="B100" s="1">
        <f>45904</f>
        <v>45904</v>
      </c>
      <c r="C100" t="s">
        <v>0</v>
      </c>
      <c r="D100">
        <v>108108</v>
      </c>
      <c r="E100" s="2">
        <v>25004332</v>
      </c>
      <c r="F100" s="2">
        <v>2</v>
      </c>
      <c r="G100" t="s">
        <v>1334</v>
      </c>
      <c r="H100" t="s">
        <v>1016</v>
      </c>
      <c r="I100" t="s">
        <v>1702</v>
      </c>
      <c r="J100" t="s">
        <v>1326</v>
      </c>
      <c r="K100" s="3">
        <v>10</v>
      </c>
      <c r="L100" s="4">
        <v>197.1</v>
      </c>
      <c r="O100" t="s">
        <v>2</v>
      </c>
      <c r="P100" t="s">
        <v>454</v>
      </c>
      <c r="Q100" s="2">
        <v>10</v>
      </c>
      <c r="R100" s="5">
        <v>21.9</v>
      </c>
      <c r="S100" s="5">
        <v>21.9</v>
      </c>
      <c r="T100" s="2">
        <v>20</v>
      </c>
      <c r="U100" t="s">
        <v>3</v>
      </c>
      <c r="V100" t="s">
        <v>58</v>
      </c>
      <c r="W100" s="5">
        <v>203.45</v>
      </c>
    </row>
    <row r="101" spans="1:23" ht="15" x14ac:dyDescent="0.2">
      <c r="A101" t="s">
        <v>1009</v>
      </c>
      <c r="B101" s="1">
        <f>45904</f>
        <v>45904</v>
      </c>
      <c r="C101" t="s">
        <v>0</v>
      </c>
      <c r="D101">
        <v>108108</v>
      </c>
      <c r="E101" s="2">
        <v>25004333</v>
      </c>
      <c r="F101" s="2">
        <v>1</v>
      </c>
      <c r="G101" t="s">
        <v>1352</v>
      </c>
      <c r="H101" t="s">
        <v>1034</v>
      </c>
      <c r="I101" t="s">
        <v>1647</v>
      </c>
      <c r="J101" t="s">
        <v>1326</v>
      </c>
      <c r="K101" s="3">
        <v>1</v>
      </c>
      <c r="L101" s="4">
        <v>9.9</v>
      </c>
      <c r="O101" t="s">
        <v>2</v>
      </c>
      <c r="P101" t="s">
        <v>455</v>
      </c>
      <c r="Q101" s="2">
        <v>0</v>
      </c>
      <c r="R101" s="5">
        <v>9.9</v>
      </c>
      <c r="S101" s="5">
        <v>0</v>
      </c>
      <c r="T101" s="2">
        <v>10</v>
      </c>
      <c r="U101" t="s">
        <v>3</v>
      </c>
      <c r="V101" t="s">
        <v>1322</v>
      </c>
      <c r="W101" s="5">
        <v>8.32</v>
      </c>
    </row>
    <row r="102" spans="1:23" ht="15" x14ac:dyDescent="0.2">
      <c r="A102" t="s">
        <v>1009</v>
      </c>
      <c r="B102" s="1">
        <f>45904</f>
        <v>45904</v>
      </c>
      <c r="C102" t="s">
        <v>0</v>
      </c>
      <c r="D102">
        <v>108108</v>
      </c>
      <c r="E102" s="2">
        <v>25004334</v>
      </c>
      <c r="F102" s="2">
        <v>1</v>
      </c>
      <c r="G102" t="s">
        <v>1402</v>
      </c>
      <c r="H102" t="s">
        <v>1084</v>
      </c>
      <c r="I102" t="s">
        <v>1703</v>
      </c>
      <c r="J102" t="s">
        <v>1326</v>
      </c>
      <c r="K102" s="3">
        <v>1</v>
      </c>
      <c r="L102" s="4">
        <v>24.9</v>
      </c>
      <c r="O102" t="s">
        <v>2</v>
      </c>
      <c r="P102" t="s">
        <v>456</v>
      </c>
      <c r="Q102" s="2">
        <v>0</v>
      </c>
      <c r="R102" s="5">
        <v>24.9</v>
      </c>
      <c r="S102" s="5">
        <v>0</v>
      </c>
      <c r="T102" s="2">
        <v>25</v>
      </c>
      <c r="U102" t="s">
        <v>3</v>
      </c>
      <c r="V102" t="s">
        <v>59</v>
      </c>
      <c r="W102" s="5">
        <v>29.24</v>
      </c>
    </row>
    <row r="103" spans="1:23" ht="15" x14ac:dyDescent="0.2">
      <c r="A103" t="s">
        <v>1009</v>
      </c>
      <c r="B103" s="1">
        <f>45904</f>
        <v>45904</v>
      </c>
      <c r="C103" t="s">
        <v>0</v>
      </c>
      <c r="D103">
        <v>108108</v>
      </c>
      <c r="E103" s="2">
        <v>25004334</v>
      </c>
      <c r="F103" s="2">
        <v>2</v>
      </c>
      <c r="G103" t="s">
        <v>1356</v>
      </c>
      <c r="H103" t="s">
        <v>1038</v>
      </c>
      <c r="I103" t="s">
        <v>1703</v>
      </c>
      <c r="J103" t="s">
        <v>1326</v>
      </c>
      <c r="K103" s="3">
        <v>1</v>
      </c>
      <c r="L103" s="4">
        <v>9.9</v>
      </c>
      <c r="O103" t="s">
        <v>2</v>
      </c>
      <c r="P103" t="s">
        <v>456</v>
      </c>
      <c r="Q103" s="2">
        <v>0</v>
      </c>
      <c r="R103" s="5">
        <v>9.9</v>
      </c>
      <c r="S103" s="5">
        <v>0</v>
      </c>
      <c r="T103" s="2">
        <v>10</v>
      </c>
      <c r="U103" t="s">
        <v>3</v>
      </c>
      <c r="V103" t="s">
        <v>59</v>
      </c>
      <c r="W103" s="5">
        <v>29.24</v>
      </c>
    </row>
    <row r="104" spans="1:23" ht="15" x14ac:dyDescent="0.2">
      <c r="A104" t="s">
        <v>1009</v>
      </c>
      <c r="B104" s="1">
        <f>45904</f>
        <v>45904</v>
      </c>
      <c r="C104" t="s">
        <v>0</v>
      </c>
      <c r="D104">
        <v>108108</v>
      </c>
      <c r="E104" s="2">
        <v>25004335</v>
      </c>
      <c r="F104" s="2">
        <v>1</v>
      </c>
      <c r="G104" t="s">
        <v>1403</v>
      </c>
      <c r="H104" t="s">
        <v>1085</v>
      </c>
      <c r="I104" t="s">
        <v>1704</v>
      </c>
      <c r="J104" t="s">
        <v>1326</v>
      </c>
      <c r="K104" s="3">
        <v>1</v>
      </c>
      <c r="L104" s="4">
        <v>21.9</v>
      </c>
      <c r="O104" t="s">
        <v>2</v>
      </c>
      <c r="P104" t="s">
        <v>457</v>
      </c>
      <c r="Q104" s="2">
        <v>0</v>
      </c>
      <c r="R104" s="5">
        <v>21.9</v>
      </c>
      <c r="S104" s="5">
        <v>0</v>
      </c>
      <c r="T104" s="2">
        <v>22</v>
      </c>
      <c r="U104" t="s">
        <v>3</v>
      </c>
      <c r="V104" t="s">
        <v>60</v>
      </c>
      <c r="W104" s="5">
        <v>22.6</v>
      </c>
    </row>
    <row r="105" spans="1:23" ht="15" x14ac:dyDescent="0.2">
      <c r="A105" t="s">
        <v>1009</v>
      </c>
      <c r="B105" s="1">
        <f>45904</f>
        <v>45904</v>
      </c>
      <c r="C105" t="s">
        <v>0</v>
      </c>
      <c r="D105">
        <v>108108</v>
      </c>
      <c r="E105" s="2">
        <v>25004335</v>
      </c>
      <c r="F105" s="2">
        <v>2</v>
      </c>
      <c r="G105" t="s">
        <v>1332</v>
      </c>
      <c r="H105" t="s">
        <v>362</v>
      </c>
      <c r="I105" t="s">
        <v>1704</v>
      </c>
      <c r="J105" t="s">
        <v>1326</v>
      </c>
      <c r="K105" s="3">
        <v>1</v>
      </c>
      <c r="L105" s="4">
        <v>5</v>
      </c>
      <c r="O105" t="s">
        <v>2</v>
      </c>
      <c r="P105" t="s">
        <v>457</v>
      </c>
      <c r="Q105" s="2">
        <v>0</v>
      </c>
      <c r="R105" s="5">
        <v>5</v>
      </c>
      <c r="S105" s="5">
        <v>0</v>
      </c>
      <c r="T105" s="2">
        <v>5</v>
      </c>
      <c r="U105" t="s">
        <v>3</v>
      </c>
      <c r="V105" t="s">
        <v>60</v>
      </c>
      <c r="W105" s="5">
        <v>22.6</v>
      </c>
    </row>
    <row r="106" spans="1:23" ht="15" x14ac:dyDescent="0.2">
      <c r="A106" t="s">
        <v>1009</v>
      </c>
      <c r="B106" s="1">
        <f>45904</f>
        <v>45904</v>
      </c>
      <c r="C106" t="s">
        <v>0</v>
      </c>
      <c r="D106">
        <v>108108</v>
      </c>
      <c r="E106" s="2">
        <v>25004336</v>
      </c>
      <c r="F106" s="2">
        <v>1</v>
      </c>
      <c r="G106" t="s">
        <v>1404</v>
      </c>
      <c r="H106" t="s">
        <v>1086</v>
      </c>
      <c r="I106" t="s">
        <v>1647</v>
      </c>
      <c r="J106" t="s">
        <v>1326</v>
      </c>
      <c r="K106" s="3">
        <v>2</v>
      </c>
      <c r="L106" s="4">
        <v>14.9</v>
      </c>
      <c r="O106" t="s">
        <v>2</v>
      </c>
      <c r="P106" t="s">
        <v>458</v>
      </c>
      <c r="Q106" s="2">
        <v>0</v>
      </c>
      <c r="R106" s="5">
        <v>7.45</v>
      </c>
      <c r="S106" s="5">
        <v>0</v>
      </c>
      <c r="T106" s="2">
        <v>7</v>
      </c>
      <c r="U106" t="s">
        <v>3</v>
      </c>
      <c r="V106" t="s">
        <v>1322</v>
      </c>
      <c r="W106" s="5">
        <v>21.68</v>
      </c>
    </row>
    <row r="107" spans="1:23" ht="15" x14ac:dyDescent="0.2">
      <c r="A107" t="s">
        <v>1009</v>
      </c>
      <c r="B107" s="1">
        <f>45904</f>
        <v>45904</v>
      </c>
      <c r="C107" t="s">
        <v>0</v>
      </c>
      <c r="D107">
        <v>108108</v>
      </c>
      <c r="E107" s="2">
        <v>25004336</v>
      </c>
      <c r="F107" s="2">
        <v>2</v>
      </c>
      <c r="G107" t="s">
        <v>1405</v>
      </c>
      <c r="H107" t="s">
        <v>1087</v>
      </c>
      <c r="I107" t="s">
        <v>1647</v>
      </c>
      <c r="J107" t="s">
        <v>1326</v>
      </c>
      <c r="K107" s="3">
        <v>1</v>
      </c>
      <c r="L107" s="4">
        <v>10.9</v>
      </c>
      <c r="O107" t="s">
        <v>2</v>
      </c>
      <c r="P107" t="s">
        <v>458</v>
      </c>
      <c r="Q107" s="2">
        <v>0</v>
      </c>
      <c r="R107" s="5">
        <v>10.9</v>
      </c>
      <c r="S107" s="5">
        <v>0</v>
      </c>
      <c r="T107" s="2">
        <v>11</v>
      </c>
      <c r="U107" t="s">
        <v>3</v>
      </c>
      <c r="V107" t="s">
        <v>1322</v>
      </c>
      <c r="W107" s="5">
        <v>21.68</v>
      </c>
    </row>
    <row r="108" spans="1:23" ht="15" x14ac:dyDescent="0.2">
      <c r="A108" t="s">
        <v>1009</v>
      </c>
      <c r="B108" s="1">
        <f>45904</f>
        <v>45904</v>
      </c>
      <c r="C108" t="s">
        <v>0</v>
      </c>
      <c r="D108">
        <v>108108</v>
      </c>
      <c r="E108" s="2">
        <v>25004337</v>
      </c>
      <c r="F108" s="2">
        <v>1</v>
      </c>
      <c r="G108" t="s">
        <v>1406</v>
      </c>
      <c r="H108" t="s">
        <v>1088</v>
      </c>
      <c r="I108" t="s">
        <v>1705</v>
      </c>
      <c r="J108" t="s">
        <v>1323</v>
      </c>
      <c r="K108" s="3">
        <v>1</v>
      </c>
      <c r="L108" s="4">
        <v>64</v>
      </c>
      <c r="O108" t="s">
        <v>2</v>
      </c>
      <c r="P108" t="s">
        <v>459</v>
      </c>
      <c r="Q108" s="2">
        <v>20</v>
      </c>
      <c r="R108" s="5">
        <v>80</v>
      </c>
      <c r="S108" s="5">
        <v>16</v>
      </c>
      <c r="T108" s="2">
        <v>64</v>
      </c>
      <c r="U108" t="s">
        <v>3</v>
      </c>
      <c r="V108" t="s">
        <v>61</v>
      </c>
      <c r="W108" s="5">
        <v>107.56</v>
      </c>
    </row>
    <row r="109" spans="1:23" ht="15" x14ac:dyDescent="0.2">
      <c r="A109" t="s">
        <v>1009</v>
      </c>
      <c r="B109" s="1">
        <f>45904</f>
        <v>45904</v>
      </c>
      <c r="C109" t="s">
        <v>0</v>
      </c>
      <c r="D109">
        <v>108108</v>
      </c>
      <c r="E109" s="2">
        <v>25004337</v>
      </c>
      <c r="F109" s="2">
        <v>2</v>
      </c>
      <c r="G109" t="s">
        <v>1406</v>
      </c>
      <c r="H109" t="s">
        <v>1088</v>
      </c>
      <c r="I109" t="s">
        <v>1705</v>
      </c>
      <c r="J109" t="s">
        <v>1323</v>
      </c>
      <c r="K109" s="3">
        <v>1</v>
      </c>
      <c r="L109" s="4">
        <v>64</v>
      </c>
      <c r="O109" t="s">
        <v>2</v>
      </c>
      <c r="P109" t="s">
        <v>459</v>
      </c>
      <c r="Q109" s="2">
        <v>20</v>
      </c>
      <c r="R109" s="5">
        <v>80</v>
      </c>
      <c r="S109" s="5">
        <v>16</v>
      </c>
      <c r="T109" s="2">
        <v>64</v>
      </c>
      <c r="U109" t="s">
        <v>3</v>
      </c>
      <c r="V109" t="s">
        <v>61</v>
      </c>
      <c r="W109" s="5">
        <v>107.56</v>
      </c>
    </row>
    <row r="110" spans="1:23" ht="15" x14ac:dyDescent="0.2">
      <c r="A110" t="s">
        <v>1009</v>
      </c>
      <c r="B110" s="1">
        <f>45904</f>
        <v>45904</v>
      </c>
      <c r="C110" t="s">
        <v>0</v>
      </c>
      <c r="D110">
        <v>108108</v>
      </c>
      <c r="E110" s="2">
        <v>25004338</v>
      </c>
      <c r="F110" s="2">
        <v>1</v>
      </c>
      <c r="G110" t="s">
        <v>1328</v>
      </c>
      <c r="H110" t="s">
        <v>1011</v>
      </c>
      <c r="I110" t="s">
        <v>1706</v>
      </c>
      <c r="J110" t="s">
        <v>1326</v>
      </c>
      <c r="K110" s="3">
        <v>1</v>
      </c>
      <c r="L110" s="4">
        <v>22.9</v>
      </c>
      <c r="O110" t="s">
        <v>2</v>
      </c>
      <c r="P110" t="s">
        <v>460</v>
      </c>
      <c r="Q110" s="2">
        <v>0</v>
      </c>
      <c r="R110" s="5">
        <v>22.9</v>
      </c>
      <c r="S110" s="5">
        <v>0</v>
      </c>
      <c r="T110" s="2">
        <v>23</v>
      </c>
      <c r="U110" t="s">
        <v>3</v>
      </c>
      <c r="V110" t="s">
        <v>62</v>
      </c>
      <c r="W110" s="5">
        <v>23.44</v>
      </c>
    </row>
    <row r="111" spans="1:23" ht="15" x14ac:dyDescent="0.2">
      <c r="A111" t="s">
        <v>1009</v>
      </c>
      <c r="B111" s="1">
        <f>45904</f>
        <v>45904</v>
      </c>
      <c r="C111" t="s">
        <v>0</v>
      </c>
      <c r="D111">
        <v>108108</v>
      </c>
      <c r="E111" s="2">
        <v>25004338</v>
      </c>
      <c r="F111" s="2">
        <v>2</v>
      </c>
      <c r="G111" t="s">
        <v>1332</v>
      </c>
      <c r="H111" t="s">
        <v>362</v>
      </c>
      <c r="I111" t="s">
        <v>1706</v>
      </c>
      <c r="J111" t="s">
        <v>1326</v>
      </c>
      <c r="K111" s="3">
        <v>1</v>
      </c>
      <c r="L111" s="4">
        <v>5</v>
      </c>
      <c r="O111" t="s">
        <v>2</v>
      </c>
      <c r="P111" t="s">
        <v>460</v>
      </c>
      <c r="Q111" s="2">
        <v>0</v>
      </c>
      <c r="R111" s="5">
        <v>5</v>
      </c>
      <c r="S111" s="5">
        <v>0</v>
      </c>
      <c r="T111" s="2">
        <v>5</v>
      </c>
      <c r="U111" t="s">
        <v>3</v>
      </c>
      <c r="V111" t="s">
        <v>62</v>
      </c>
      <c r="W111" s="5">
        <v>23.44</v>
      </c>
    </row>
    <row r="112" spans="1:23" ht="15" x14ac:dyDescent="0.2">
      <c r="A112" t="s">
        <v>1009</v>
      </c>
      <c r="B112" s="1">
        <f>45904</f>
        <v>45904</v>
      </c>
      <c r="C112" t="s">
        <v>0</v>
      </c>
      <c r="D112">
        <v>108108</v>
      </c>
      <c r="E112" s="2">
        <v>25004339</v>
      </c>
      <c r="F112" s="2">
        <v>1</v>
      </c>
      <c r="G112" t="s">
        <v>1407</v>
      </c>
      <c r="H112" t="s">
        <v>1089</v>
      </c>
      <c r="I112" t="s">
        <v>1707</v>
      </c>
      <c r="J112" t="s">
        <v>1326</v>
      </c>
      <c r="K112" s="3">
        <v>1</v>
      </c>
      <c r="L112" s="4">
        <v>27.5</v>
      </c>
      <c r="O112" t="s">
        <v>2</v>
      </c>
      <c r="P112" t="s">
        <v>461</v>
      </c>
      <c r="Q112" s="2">
        <v>0</v>
      </c>
      <c r="R112" s="5">
        <v>27.5</v>
      </c>
      <c r="S112" s="5">
        <v>0</v>
      </c>
      <c r="T112" s="2">
        <v>28</v>
      </c>
      <c r="U112" t="s">
        <v>3</v>
      </c>
      <c r="V112" t="s">
        <v>63</v>
      </c>
      <c r="W112" s="5">
        <v>23.11</v>
      </c>
    </row>
    <row r="113" spans="1:23" ht="15" x14ac:dyDescent="0.2">
      <c r="A113" t="s">
        <v>1009</v>
      </c>
      <c r="B113" s="1">
        <f>45904</f>
        <v>45904</v>
      </c>
      <c r="C113" t="s">
        <v>0</v>
      </c>
      <c r="D113">
        <v>108108</v>
      </c>
      <c r="E113" s="2">
        <v>25004340</v>
      </c>
      <c r="F113" s="2">
        <v>1</v>
      </c>
      <c r="G113" t="s">
        <v>1408</v>
      </c>
      <c r="H113" t="s">
        <v>1090</v>
      </c>
      <c r="I113" t="s">
        <v>1708</v>
      </c>
      <c r="J113" t="s">
        <v>1323</v>
      </c>
      <c r="K113" s="3">
        <v>1</v>
      </c>
      <c r="L113" s="4">
        <v>22.9</v>
      </c>
      <c r="O113" t="s">
        <v>2</v>
      </c>
      <c r="P113" t="s">
        <v>462</v>
      </c>
      <c r="Q113" s="2">
        <v>0</v>
      </c>
      <c r="R113" s="5">
        <v>22.9</v>
      </c>
      <c r="S113" s="5">
        <v>0</v>
      </c>
      <c r="T113" s="2">
        <v>23</v>
      </c>
      <c r="U113" t="s">
        <v>3</v>
      </c>
      <c r="V113" t="s">
        <v>64</v>
      </c>
      <c r="W113" s="5">
        <v>19.239999999999998</v>
      </c>
    </row>
    <row r="114" spans="1:23" ht="15" x14ac:dyDescent="0.2">
      <c r="A114" t="s">
        <v>1009</v>
      </c>
      <c r="B114" s="1">
        <f>45904</f>
        <v>45904</v>
      </c>
      <c r="C114" t="s">
        <v>0</v>
      </c>
      <c r="D114">
        <v>108108</v>
      </c>
      <c r="E114" s="2">
        <v>25004341</v>
      </c>
      <c r="F114" s="2">
        <v>1</v>
      </c>
      <c r="G114" t="s">
        <v>1332</v>
      </c>
      <c r="H114" t="s">
        <v>362</v>
      </c>
      <c r="I114" t="s">
        <v>1709</v>
      </c>
      <c r="J114" t="s">
        <v>1323</v>
      </c>
      <c r="K114" s="3">
        <v>1</v>
      </c>
      <c r="L114" s="4">
        <v>5</v>
      </c>
      <c r="O114" t="s">
        <v>2</v>
      </c>
      <c r="P114" t="s">
        <v>463</v>
      </c>
      <c r="Q114" s="2">
        <v>0</v>
      </c>
      <c r="R114" s="5">
        <v>5</v>
      </c>
      <c r="S114" s="5">
        <v>0</v>
      </c>
      <c r="T114" s="2">
        <v>5</v>
      </c>
      <c r="U114" t="s">
        <v>3</v>
      </c>
      <c r="V114" t="s">
        <v>65</v>
      </c>
      <c r="W114" s="5">
        <v>19.239999999999998</v>
      </c>
    </row>
    <row r="115" spans="1:23" ht="15" x14ac:dyDescent="0.2">
      <c r="A115" t="s">
        <v>1009</v>
      </c>
      <c r="B115" s="1">
        <f>45904</f>
        <v>45904</v>
      </c>
      <c r="C115" t="s">
        <v>0</v>
      </c>
      <c r="D115">
        <v>108108</v>
      </c>
      <c r="E115" s="2">
        <v>25004341</v>
      </c>
      <c r="F115" s="2">
        <v>2</v>
      </c>
      <c r="G115" t="s">
        <v>1343</v>
      </c>
      <c r="H115" t="s">
        <v>1025</v>
      </c>
      <c r="I115" t="s">
        <v>1709</v>
      </c>
      <c r="J115" t="s">
        <v>1323</v>
      </c>
      <c r="K115" s="3">
        <v>1</v>
      </c>
      <c r="L115" s="4">
        <v>17.899999999999999</v>
      </c>
      <c r="O115" t="s">
        <v>2</v>
      </c>
      <c r="P115" t="s">
        <v>463</v>
      </c>
      <c r="Q115" s="2">
        <v>0</v>
      </c>
      <c r="R115" s="5">
        <v>17.899999999999999</v>
      </c>
      <c r="S115" s="5">
        <v>0</v>
      </c>
      <c r="T115" s="2">
        <v>18</v>
      </c>
      <c r="U115" t="s">
        <v>3</v>
      </c>
      <c r="V115" t="s">
        <v>65</v>
      </c>
      <c r="W115" s="5">
        <v>19.239999999999998</v>
      </c>
    </row>
    <row r="116" spans="1:23" ht="15" x14ac:dyDescent="0.2">
      <c r="A116" t="s">
        <v>1009</v>
      </c>
      <c r="B116" s="1">
        <f>45904</f>
        <v>45904</v>
      </c>
      <c r="C116" t="s">
        <v>0</v>
      </c>
      <c r="D116">
        <v>108108</v>
      </c>
      <c r="E116" s="2">
        <v>25004342</v>
      </c>
      <c r="F116" s="2">
        <v>1</v>
      </c>
      <c r="G116" t="s">
        <v>1409</v>
      </c>
      <c r="H116" t="s">
        <v>1091</v>
      </c>
      <c r="I116" t="s">
        <v>1710</v>
      </c>
      <c r="J116" t="s">
        <v>1323</v>
      </c>
      <c r="K116" s="3">
        <v>1</v>
      </c>
      <c r="L116" s="4">
        <v>47.9</v>
      </c>
      <c r="O116" t="s">
        <v>2</v>
      </c>
      <c r="P116" t="s">
        <v>464</v>
      </c>
      <c r="Q116" s="2">
        <v>0</v>
      </c>
      <c r="R116" s="5">
        <v>47.9</v>
      </c>
      <c r="S116" s="5">
        <v>0</v>
      </c>
      <c r="T116" s="2">
        <v>48</v>
      </c>
      <c r="U116" t="s">
        <v>3</v>
      </c>
      <c r="V116" t="s">
        <v>66</v>
      </c>
      <c r="W116" s="5">
        <v>40.25</v>
      </c>
    </row>
    <row r="117" spans="1:23" ht="15" x14ac:dyDescent="0.2">
      <c r="A117" t="s">
        <v>1009</v>
      </c>
      <c r="B117" s="1">
        <f>45904</f>
        <v>45904</v>
      </c>
      <c r="C117" t="s">
        <v>0</v>
      </c>
      <c r="D117">
        <v>108108</v>
      </c>
      <c r="E117" s="2">
        <v>25004343</v>
      </c>
      <c r="F117" s="2">
        <v>1</v>
      </c>
      <c r="G117" t="s">
        <v>1410</v>
      </c>
      <c r="H117" t="s">
        <v>1092</v>
      </c>
      <c r="I117" t="s">
        <v>1647</v>
      </c>
      <c r="J117" t="s">
        <v>1323</v>
      </c>
      <c r="K117" s="3">
        <v>1</v>
      </c>
      <c r="L117" s="4">
        <v>6</v>
      </c>
      <c r="O117" t="s">
        <v>2</v>
      </c>
      <c r="P117" t="s">
        <v>465</v>
      </c>
      <c r="Q117" s="2">
        <v>0</v>
      </c>
      <c r="R117" s="5">
        <v>6</v>
      </c>
      <c r="S117" s="5">
        <v>0</v>
      </c>
      <c r="T117" s="2">
        <v>6</v>
      </c>
      <c r="U117" t="s">
        <v>3</v>
      </c>
      <c r="V117" t="s">
        <v>1322</v>
      </c>
      <c r="W117" s="5">
        <v>10.08</v>
      </c>
    </row>
    <row r="118" spans="1:23" ht="15" x14ac:dyDescent="0.2">
      <c r="A118" t="s">
        <v>1009</v>
      </c>
      <c r="B118" s="1">
        <f>45904</f>
        <v>45904</v>
      </c>
      <c r="C118" t="s">
        <v>0</v>
      </c>
      <c r="D118">
        <v>108108</v>
      </c>
      <c r="E118" s="2">
        <v>25004343</v>
      </c>
      <c r="F118" s="2">
        <v>2</v>
      </c>
      <c r="G118" t="s">
        <v>1411</v>
      </c>
      <c r="H118" t="s">
        <v>1093</v>
      </c>
      <c r="I118" t="s">
        <v>1647</v>
      </c>
      <c r="J118" t="s">
        <v>1323</v>
      </c>
      <c r="K118" s="3">
        <v>1</v>
      </c>
      <c r="L118" s="4">
        <v>6</v>
      </c>
      <c r="O118" t="s">
        <v>2</v>
      </c>
      <c r="P118" t="s">
        <v>465</v>
      </c>
      <c r="Q118" s="2">
        <v>0</v>
      </c>
      <c r="R118" s="5">
        <v>6</v>
      </c>
      <c r="S118" s="5">
        <v>0</v>
      </c>
      <c r="T118" s="2">
        <v>6</v>
      </c>
      <c r="U118" t="s">
        <v>3</v>
      </c>
      <c r="V118" t="s">
        <v>1322</v>
      </c>
      <c r="W118" s="5">
        <v>10.08</v>
      </c>
    </row>
    <row r="119" spans="1:23" ht="15" x14ac:dyDescent="0.2">
      <c r="A119" t="s">
        <v>1009</v>
      </c>
      <c r="B119" s="1">
        <f>45904</f>
        <v>45904</v>
      </c>
      <c r="C119" t="s">
        <v>0</v>
      </c>
      <c r="D119">
        <v>108108</v>
      </c>
      <c r="E119" s="2">
        <v>25004344</v>
      </c>
      <c r="F119" s="2">
        <v>1</v>
      </c>
      <c r="G119" t="s">
        <v>1412</v>
      </c>
      <c r="H119" t="s">
        <v>1094</v>
      </c>
      <c r="I119" t="s">
        <v>1711</v>
      </c>
      <c r="J119" t="s">
        <v>1323</v>
      </c>
      <c r="K119" s="3">
        <v>1</v>
      </c>
      <c r="L119" s="4">
        <v>26.9</v>
      </c>
      <c r="O119" t="s">
        <v>2</v>
      </c>
      <c r="P119" t="s">
        <v>466</v>
      </c>
      <c r="Q119" s="2">
        <v>0</v>
      </c>
      <c r="R119" s="5">
        <v>26.9</v>
      </c>
      <c r="S119" s="5">
        <v>0</v>
      </c>
      <c r="T119" s="2">
        <v>27</v>
      </c>
      <c r="U119" t="s">
        <v>3</v>
      </c>
      <c r="V119" t="s">
        <v>67</v>
      </c>
      <c r="W119" s="5">
        <v>22.61</v>
      </c>
    </row>
    <row r="120" spans="1:23" ht="15" x14ac:dyDescent="0.2">
      <c r="A120" t="s">
        <v>1009</v>
      </c>
      <c r="B120" s="1">
        <f>45904</f>
        <v>45904</v>
      </c>
      <c r="C120" t="s">
        <v>0</v>
      </c>
      <c r="D120">
        <v>108108</v>
      </c>
      <c r="E120" s="2">
        <v>25004345</v>
      </c>
      <c r="F120" s="2">
        <v>1</v>
      </c>
      <c r="G120" t="s">
        <v>1413</v>
      </c>
      <c r="H120" t="s">
        <v>1095</v>
      </c>
      <c r="I120" t="s">
        <v>1712</v>
      </c>
      <c r="J120" t="s">
        <v>1323</v>
      </c>
      <c r="K120" s="3">
        <v>1</v>
      </c>
      <c r="L120" s="4">
        <v>21.9</v>
      </c>
      <c r="O120" t="s">
        <v>2</v>
      </c>
      <c r="P120" t="s">
        <v>467</v>
      </c>
      <c r="Q120" s="2">
        <v>0</v>
      </c>
      <c r="R120" s="5">
        <v>21.9</v>
      </c>
      <c r="S120" s="5">
        <v>0</v>
      </c>
      <c r="T120" s="2">
        <v>22</v>
      </c>
      <c r="U120" t="s">
        <v>3</v>
      </c>
      <c r="V120" t="s">
        <v>68</v>
      </c>
      <c r="W120" s="5">
        <v>22.6</v>
      </c>
    </row>
    <row r="121" spans="1:23" ht="15" x14ac:dyDescent="0.2">
      <c r="A121" t="s">
        <v>1009</v>
      </c>
      <c r="B121" s="1">
        <f>45904</f>
        <v>45904</v>
      </c>
      <c r="C121" t="s">
        <v>0</v>
      </c>
      <c r="D121">
        <v>108108</v>
      </c>
      <c r="E121" s="2">
        <v>25004345</v>
      </c>
      <c r="F121" s="2">
        <v>2</v>
      </c>
      <c r="G121" t="s">
        <v>1332</v>
      </c>
      <c r="H121" t="s">
        <v>362</v>
      </c>
      <c r="I121" t="s">
        <v>1712</v>
      </c>
      <c r="J121" t="s">
        <v>1323</v>
      </c>
      <c r="K121" s="3">
        <v>1</v>
      </c>
      <c r="L121" s="4">
        <v>5</v>
      </c>
      <c r="O121" t="s">
        <v>2</v>
      </c>
      <c r="P121" t="s">
        <v>467</v>
      </c>
      <c r="Q121" s="2">
        <v>0</v>
      </c>
      <c r="R121" s="5">
        <v>5</v>
      </c>
      <c r="S121" s="5">
        <v>0</v>
      </c>
      <c r="T121" s="2">
        <v>5</v>
      </c>
      <c r="U121" t="s">
        <v>3</v>
      </c>
      <c r="V121" t="s">
        <v>68</v>
      </c>
      <c r="W121" s="5">
        <v>22.6</v>
      </c>
    </row>
    <row r="122" spans="1:23" ht="15" x14ac:dyDescent="0.2">
      <c r="A122" t="s">
        <v>1009</v>
      </c>
      <c r="B122" s="1">
        <f>45904</f>
        <v>45904</v>
      </c>
      <c r="C122" t="s">
        <v>0</v>
      </c>
      <c r="D122">
        <v>108108</v>
      </c>
      <c r="E122" s="2">
        <v>25004346</v>
      </c>
      <c r="F122" s="2">
        <v>1</v>
      </c>
      <c r="G122" t="s">
        <v>1414</v>
      </c>
      <c r="H122" t="s">
        <v>1096</v>
      </c>
      <c r="I122" t="s">
        <v>1713</v>
      </c>
      <c r="J122" t="s">
        <v>1323</v>
      </c>
      <c r="K122" s="3">
        <v>1</v>
      </c>
      <c r="L122" s="4">
        <v>20.6</v>
      </c>
      <c r="O122" t="s">
        <v>2</v>
      </c>
      <c r="P122" t="s">
        <v>468</v>
      </c>
      <c r="Q122" s="2">
        <v>10</v>
      </c>
      <c r="R122" s="5">
        <v>22.9</v>
      </c>
      <c r="S122" s="5">
        <v>2.2999999999999998</v>
      </c>
      <c r="T122" s="2">
        <v>21</v>
      </c>
      <c r="U122" t="s">
        <v>3</v>
      </c>
      <c r="V122" t="s">
        <v>69</v>
      </c>
      <c r="W122" s="5">
        <v>42.27</v>
      </c>
    </row>
    <row r="123" spans="1:23" ht="15" x14ac:dyDescent="0.2">
      <c r="A123" t="s">
        <v>1009</v>
      </c>
      <c r="B123" s="1">
        <f>45904</f>
        <v>45904</v>
      </c>
      <c r="C123" t="s">
        <v>0</v>
      </c>
      <c r="D123">
        <v>108108</v>
      </c>
      <c r="E123" s="2">
        <v>25004346</v>
      </c>
      <c r="F123" s="2">
        <v>2</v>
      </c>
      <c r="G123" t="s">
        <v>1393</v>
      </c>
      <c r="H123" t="s">
        <v>1075</v>
      </c>
      <c r="I123" t="s">
        <v>1713</v>
      </c>
      <c r="J123" t="s">
        <v>1323</v>
      </c>
      <c r="K123" s="3">
        <v>1</v>
      </c>
      <c r="L123" s="4">
        <v>29.7</v>
      </c>
      <c r="O123" t="s">
        <v>2</v>
      </c>
      <c r="P123" t="s">
        <v>468</v>
      </c>
      <c r="Q123" s="2">
        <v>10</v>
      </c>
      <c r="R123" s="5">
        <v>33</v>
      </c>
      <c r="S123" s="5">
        <v>3.3</v>
      </c>
      <c r="T123" s="2">
        <v>30</v>
      </c>
      <c r="U123" t="s">
        <v>3</v>
      </c>
      <c r="V123" t="s">
        <v>69</v>
      </c>
      <c r="W123" s="5">
        <v>42.27</v>
      </c>
    </row>
    <row r="124" spans="1:23" ht="15" x14ac:dyDescent="0.2">
      <c r="A124" t="s">
        <v>1009</v>
      </c>
      <c r="B124" s="1">
        <f>45904</f>
        <v>45904</v>
      </c>
      <c r="C124" t="s">
        <v>0</v>
      </c>
      <c r="D124">
        <v>108108</v>
      </c>
      <c r="E124" s="2">
        <v>25004347</v>
      </c>
      <c r="F124" s="2">
        <v>1</v>
      </c>
      <c r="G124" t="s">
        <v>1415</v>
      </c>
      <c r="H124" t="s">
        <v>1097</v>
      </c>
      <c r="I124" t="s">
        <v>1714</v>
      </c>
      <c r="J124" t="s">
        <v>1323</v>
      </c>
      <c r="K124" s="3">
        <v>1</v>
      </c>
      <c r="L124" s="4">
        <v>22.9</v>
      </c>
      <c r="O124" t="s">
        <v>2</v>
      </c>
      <c r="P124" t="s">
        <v>469</v>
      </c>
      <c r="Q124" s="2">
        <v>0</v>
      </c>
      <c r="R124" s="5">
        <v>22.9</v>
      </c>
      <c r="S124" s="5">
        <v>0</v>
      </c>
      <c r="T124" s="2">
        <v>23</v>
      </c>
      <c r="U124" t="s">
        <v>3</v>
      </c>
      <c r="V124" t="s">
        <v>70</v>
      </c>
      <c r="W124" s="5">
        <v>38.479999999999997</v>
      </c>
    </row>
    <row r="125" spans="1:23" ht="15" x14ac:dyDescent="0.2">
      <c r="A125" t="s">
        <v>1009</v>
      </c>
      <c r="B125" s="1">
        <f>45904</f>
        <v>45904</v>
      </c>
      <c r="C125" t="s">
        <v>0</v>
      </c>
      <c r="D125">
        <v>108108</v>
      </c>
      <c r="E125" s="2">
        <v>25004347</v>
      </c>
      <c r="F125" s="2">
        <v>2</v>
      </c>
      <c r="G125" t="s">
        <v>1416</v>
      </c>
      <c r="H125" t="s">
        <v>1098</v>
      </c>
      <c r="I125" t="s">
        <v>1714</v>
      </c>
      <c r="J125" t="s">
        <v>1323</v>
      </c>
      <c r="K125" s="3">
        <v>1</v>
      </c>
      <c r="L125" s="4">
        <v>22.9</v>
      </c>
      <c r="O125" t="s">
        <v>2</v>
      </c>
      <c r="P125" t="s">
        <v>469</v>
      </c>
      <c r="Q125" s="2">
        <v>0</v>
      </c>
      <c r="R125" s="5">
        <v>22.9</v>
      </c>
      <c r="S125" s="5">
        <v>0</v>
      </c>
      <c r="T125" s="2">
        <v>23</v>
      </c>
      <c r="U125" t="s">
        <v>3</v>
      </c>
      <c r="V125" t="s">
        <v>70</v>
      </c>
      <c r="W125" s="5">
        <v>38.479999999999997</v>
      </c>
    </row>
    <row r="126" spans="1:23" ht="15" x14ac:dyDescent="0.2">
      <c r="A126" t="s">
        <v>1009</v>
      </c>
      <c r="B126" s="1">
        <f>45904</f>
        <v>45904</v>
      </c>
      <c r="C126" t="s">
        <v>0</v>
      </c>
      <c r="D126">
        <v>108108</v>
      </c>
      <c r="E126" s="2">
        <v>25004348</v>
      </c>
      <c r="F126" s="2">
        <v>1</v>
      </c>
      <c r="G126" t="s">
        <v>1339</v>
      </c>
      <c r="H126" t="s">
        <v>1021</v>
      </c>
      <c r="I126" t="s">
        <v>1652</v>
      </c>
      <c r="J126" t="s">
        <v>1323</v>
      </c>
      <c r="K126" s="3">
        <v>1</v>
      </c>
      <c r="L126" s="4">
        <v>24</v>
      </c>
      <c r="O126" t="s">
        <v>2</v>
      </c>
      <c r="P126" t="s">
        <v>470</v>
      </c>
      <c r="Q126" s="2">
        <v>0</v>
      </c>
      <c r="R126" s="5">
        <v>24</v>
      </c>
      <c r="S126" s="5">
        <v>0</v>
      </c>
      <c r="T126" s="2">
        <v>24</v>
      </c>
      <c r="U126" t="s">
        <v>3</v>
      </c>
      <c r="V126" t="s">
        <v>8</v>
      </c>
      <c r="W126" s="5">
        <v>20.170000000000002</v>
      </c>
    </row>
    <row r="127" spans="1:23" ht="15" x14ac:dyDescent="0.2">
      <c r="A127" t="s">
        <v>1009</v>
      </c>
      <c r="B127" s="1">
        <f>45904</f>
        <v>45904</v>
      </c>
      <c r="C127" t="s">
        <v>0</v>
      </c>
      <c r="D127">
        <v>108108</v>
      </c>
      <c r="E127" s="2">
        <v>25004349</v>
      </c>
      <c r="F127" s="2">
        <v>1</v>
      </c>
      <c r="G127" t="s">
        <v>1341</v>
      </c>
      <c r="H127" t="s">
        <v>1023</v>
      </c>
      <c r="I127" t="s">
        <v>1715</v>
      </c>
      <c r="J127" t="s">
        <v>1323</v>
      </c>
      <c r="K127" s="3">
        <v>1</v>
      </c>
      <c r="L127" s="4">
        <v>22.4</v>
      </c>
      <c r="O127" t="s">
        <v>2</v>
      </c>
      <c r="P127" t="s">
        <v>471</v>
      </c>
      <c r="Q127" s="2">
        <v>10</v>
      </c>
      <c r="R127" s="5">
        <v>24.9</v>
      </c>
      <c r="S127" s="5">
        <v>2.5</v>
      </c>
      <c r="T127" s="2">
        <v>22</v>
      </c>
      <c r="U127" t="s">
        <v>3</v>
      </c>
      <c r="V127" t="s">
        <v>71</v>
      </c>
      <c r="W127" s="5">
        <v>44.45</v>
      </c>
    </row>
    <row r="128" spans="1:23" ht="15" x14ac:dyDescent="0.2">
      <c r="A128" t="s">
        <v>1009</v>
      </c>
      <c r="B128" s="1">
        <f>45904</f>
        <v>45904</v>
      </c>
      <c r="C128" t="s">
        <v>0</v>
      </c>
      <c r="D128">
        <v>108108</v>
      </c>
      <c r="E128" s="2">
        <v>25004349</v>
      </c>
      <c r="F128" s="2">
        <v>2</v>
      </c>
      <c r="G128" t="s">
        <v>1417</v>
      </c>
      <c r="H128" t="s">
        <v>1099</v>
      </c>
      <c r="I128" t="s">
        <v>1715</v>
      </c>
      <c r="J128" t="s">
        <v>1323</v>
      </c>
      <c r="K128" s="3">
        <v>1</v>
      </c>
      <c r="L128" s="4">
        <v>30.5</v>
      </c>
      <c r="O128" t="s">
        <v>2</v>
      </c>
      <c r="P128" t="s">
        <v>471</v>
      </c>
      <c r="Q128" s="2">
        <v>10</v>
      </c>
      <c r="R128" s="5">
        <v>33.9</v>
      </c>
      <c r="S128" s="5">
        <v>3.4</v>
      </c>
      <c r="T128" s="2">
        <v>31</v>
      </c>
      <c r="U128" t="s">
        <v>3</v>
      </c>
      <c r="V128" t="s">
        <v>71</v>
      </c>
      <c r="W128" s="5">
        <v>44.45</v>
      </c>
    </row>
    <row r="129" spans="1:23" ht="15" x14ac:dyDescent="0.2">
      <c r="A129" t="s">
        <v>1009</v>
      </c>
      <c r="B129" s="1">
        <f>45904</f>
        <v>45904</v>
      </c>
      <c r="C129" t="s">
        <v>0</v>
      </c>
      <c r="D129">
        <v>108108</v>
      </c>
      <c r="E129" s="2">
        <v>25004350</v>
      </c>
      <c r="F129" s="2">
        <v>1</v>
      </c>
      <c r="G129" t="s">
        <v>1342</v>
      </c>
      <c r="H129" t="s">
        <v>1024</v>
      </c>
      <c r="I129" t="s">
        <v>1716</v>
      </c>
      <c r="J129" t="s">
        <v>1323</v>
      </c>
      <c r="K129" s="3">
        <v>1</v>
      </c>
      <c r="L129" s="4">
        <v>21.9</v>
      </c>
      <c r="O129" t="s">
        <v>2</v>
      </c>
      <c r="P129" t="s">
        <v>472</v>
      </c>
      <c r="Q129" s="2">
        <v>0</v>
      </c>
      <c r="R129" s="5">
        <v>21.9</v>
      </c>
      <c r="S129" s="5">
        <v>0</v>
      </c>
      <c r="T129" s="2">
        <v>22</v>
      </c>
      <c r="U129" t="s">
        <v>3</v>
      </c>
      <c r="V129" t="s">
        <v>72</v>
      </c>
      <c r="W129" s="5">
        <v>18.399999999999999</v>
      </c>
    </row>
    <row r="130" spans="1:23" ht="15" x14ac:dyDescent="0.2">
      <c r="A130" t="s">
        <v>1009</v>
      </c>
      <c r="B130" s="1">
        <f>45904</f>
        <v>45904</v>
      </c>
      <c r="C130" t="s">
        <v>0</v>
      </c>
      <c r="D130">
        <v>108108</v>
      </c>
      <c r="E130" s="2">
        <v>25004351</v>
      </c>
      <c r="F130" s="2">
        <v>1</v>
      </c>
      <c r="G130" t="s">
        <v>1646</v>
      </c>
      <c r="H130" t="s">
        <v>361</v>
      </c>
      <c r="I130" t="s">
        <v>1647</v>
      </c>
      <c r="J130" t="s">
        <v>1323</v>
      </c>
      <c r="K130" s="3">
        <v>1</v>
      </c>
      <c r="L130" s="4">
        <v>-450</v>
      </c>
      <c r="Q130" s="2">
        <v>0</v>
      </c>
      <c r="R130" s="5">
        <v>-450</v>
      </c>
      <c r="S130" s="5">
        <v>0</v>
      </c>
      <c r="T130" s="2">
        <v>-450</v>
      </c>
      <c r="U130" t="s">
        <v>1</v>
      </c>
      <c r="V130" t="s">
        <v>361</v>
      </c>
      <c r="W130" s="5">
        <v>-450</v>
      </c>
    </row>
    <row r="131" spans="1:23" ht="15" x14ac:dyDescent="0.2">
      <c r="A131" t="s">
        <v>1009</v>
      </c>
      <c r="B131" s="1">
        <f>45905</f>
        <v>45905</v>
      </c>
      <c r="C131" t="s">
        <v>0</v>
      </c>
      <c r="D131">
        <v>108108</v>
      </c>
      <c r="E131" s="2">
        <v>25004352</v>
      </c>
      <c r="F131" s="2">
        <v>1</v>
      </c>
      <c r="G131" t="s">
        <v>1646</v>
      </c>
      <c r="H131" t="s">
        <v>361</v>
      </c>
      <c r="I131" t="s">
        <v>1647</v>
      </c>
      <c r="J131" t="s">
        <v>1326</v>
      </c>
      <c r="K131" s="3">
        <v>1</v>
      </c>
      <c r="L131" s="4">
        <v>450</v>
      </c>
      <c r="Q131" s="2">
        <v>0</v>
      </c>
      <c r="R131" s="5">
        <v>450</v>
      </c>
      <c r="S131" s="5">
        <v>0</v>
      </c>
      <c r="T131" s="2">
        <v>450</v>
      </c>
      <c r="U131" t="s">
        <v>1</v>
      </c>
      <c r="V131" t="s">
        <v>361</v>
      </c>
      <c r="W131" s="5">
        <v>450</v>
      </c>
    </row>
    <row r="132" spans="1:23" ht="15" x14ac:dyDescent="0.2">
      <c r="A132" t="s">
        <v>1009</v>
      </c>
      <c r="B132" s="1">
        <f>45905</f>
        <v>45905</v>
      </c>
      <c r="C132" t="s">
        <v>0</v>
      </c>
      <c r="D132">
        <v>108108</v>
      </c>
      <c r="E132" s="2">
        <v>25004353</v>
      </c>
      <c r="F132" s="2">
        <v>1</v>
      </c>
      <c r="G132" t="s">
        <v>1418</v>
      </c>
      <c r="H132" t="s">
        <v>1100</v>
      </c>
      <c r="I132" t="s">
        <v>1647</v>
      </c>
      <c r="J132" t="s">
        <v>1326</v>
      </c>
      <c r="K132" s="3">
        <v>1</v>
      </c>
      <c r="L132" s="4">
        <v>22.9</v>
      </c>
      <c r="O132" t="s">
        <v>2</v>
      </c>
      <c r="P132" t="s">
        <v>473</v>
      </c>
      <c r="Q132" s="2">
        <v>0</v>
      </c>
      <c r="R132" s="5">
        <v>22.9</v>
      </c>
      <c r="S132" s="5">
        <v>0</v>
      </c>
      <c r="T132" s="2">
        <v>23</v>
      </c>
      <c r="U132" t="s">
        <v>3</v>
      </c>
      <c r="V132" t="s">
        <v>1322</v>
      </c>
      <c r="W132" s="5">
        <v>28.48</v>
      </c>
    </row>
    <row r="133" spans="1:23" ht="15" x14ac:dyDescent="0.2">
      <c r="A133" t="s">
        <v>1009</v>
      </c>
      <c r="B133" s="1">
        <f>45905</f>
        <v>45905</v>
      </c>
      <c r="C133" t="s">
        <v>0</v>
      </c>
      <c r="D133">
        <v>108108</v>
      </c>
      <c r="E133" s="2">
        <v>25004353</v>
      </c>
      <c r="F133" s="2">
        <v>2</v>
      </c>
      <c r="G133" t="s">
        <v>1332</v>
      </c>
      <c r="H133" t="s">
        <v>362</v>
      </c>
      <c r="I133" t="s">
        <v>1647</v>
      </c>
      <c r="J133" t="s">
        <v>1326</v>
      </c>
      <c r="K133" s="3">
        <v>1</v>
      </c>
      <c r="L133" s="4">
        <v>5</v>
      </c>
      <c r="O133" t="s">
        <v>2</v>
      </c>
      <c r="P133" t="s">
        <v>473</v>
      </c>
      <c r="Q133" s="2">
        <v>0</v>
      </c>
      <c r="R133" s="5">
        <v>5</v>
      </c>
      <c r="S133" s="5">
        <v>0</v>
      </c>
      <c r="T133" s="2">
        <v>5</v>
      </c>
      <c r="U133" t="s">
        <v>3</v>
      </c>
      <c r="V133" t="s">
        <v>1322</v>
      </c>
      <c r="W133" s="5">
        <v>28.48</v>
      </c>
    </row>
    <row r="134" spans="1:23" ht="15" x14ac:dyDescent="0.2">
      <c r="A134" t="s">
        <v>1009</v>
      </c>
      <c r="B134" s="1">
        <f>45905</f>
        <v>45905</v>
      </c>
      <c r="C134" t="s">
        <v>0</v>
      </c>
      <c r="D134">
        <v>108108</v>
      </c>
      <c r="E134" s="2">
        <v>25004353</v>
      </c>
      <c r="F134" s="2">
        <v>3</v>
      </c>
      <c r="G134" t="s">
        <v>1419</v>
      </c>
      <c r="H134" t="s">
        <v>1101</v>
      </c>
      <c r="I134" t="s">
        <v>1647</v>
      </c>
      <c r="J134" t="s">
        <v>1326</v>
      </c>
      <c r="K134" s="3">
        <v>1</v>
      </c>
      <c r="L134" s="4">
        <v>6</v>
      </c>
      <c r="O134" t="s">
        <v>2</v>
      </c>
      <c r="P134" t="s">
        <v>473</v>
      </c>
      <c r="Q134" s="2">
        <v>0</v>
      </c>
      <c r="R134" s="5">
        <v>6</v>
      </c>
      <c r="S134" s="5">
        <v>0</v>
      </c>
      <c r="T134" s="2">
        <v>6</v>
      </c>
      <c r="U134" t="s">
        <v>3</v>
      </c>
      <c r="V134" t="s">
        <v>1322</v>
      </c>
      <c r="W134" s="5">
        <v>28.48</v>
      </c>
    </row>
    <row r="135" spans="1:23" ht="15" x14ac:dyDescent="0.2">
      <c r="A135" t="s">
        <v>1009</v>
      </c>
      <c r="B135" s="1">
        <f>45905</f>
        <v>45905</v>
      </c>
      <c r="C135" t="s">
        <v>0</v>
      </c>
      <c r="D135">
        <v>108108</v>
      </c>
      <c r="E135" s="2">
        <v>25004354</v>
      </c>
      <c r="F135" s="2">
        <v>1</v>
      </c>
      <c r="G135" t="s">
        <v>1404</v>
      </c>
      <c r="H135" t="s">
        <v>1086</v>
      </c>
      <c r="I135" t="s">
        <v>1717</v>
      </c>
      <c r="J135" t="s">
        <v>1326</v>
      </c>
      <c r="K135" s="3">
        <v>5</v>
      </c>
      <c r="L135" s="4">
        <v>29.8</v>
      </c>
      <c r="O135" t="s">
        <v>2</v>
      </c>
      <c r="P135" t="s">
        <v>474</v>
      </c>
      <c r="Q135" s="2">
        <v>20</v>
      </c>
      <c r="R135" s="5">
        <v>7.45</v>
      </c>
      <c r="S135" s="5">
        <v>7.45</v>
      </c>
      <c r="T135" s="2">
        <v>6</v>
      </c>
      <c r="U135" t="s">
        <v>3</v>
      </c>
      <c r="V135" t="s">
        <v>73</v>
      </c>
      <c r="W135" s="5">
        <v>146.58000000000001</v>
      </c>
    </row>
    <row r="136" spans="1:23" ht="15" x14ac:dyDescent="0.2">
      <c r="A136" t="s">
        <v>1009</v>
      </c>
      <c r="B136" s="1">
        <f>45905</f>
        <v>45905</v>
      </c>
      <c r="C136" t="s">
        <v>0</v>
      </c>
      <c r="D136">
        <v>108108</v>
      </c>
      <c r="E136" s="2">
        <v>25004354</v>
      </c>
      <c r="F136" s="2">
        <v>2</v>
      </c>
      <c r="G136" t="s">
        <v>1420</v>
      </c>
      <c r="H136" t="s">
        <v>1102</v>
      </c>
      <c r="I136" t="s">
        <v>1717</v>
      </c>
      <c r="J136" t="s">
        <v>1326</v>
      </c>
      <c r="K136" s="3">
        <v>1</v>
      </c>
      <c r="L136" s="4">
        <v>40.799999999999997</v>
      </c>
      <c r="O136" t="s">
        <v>2</v>
      </c>
      <c r="P136" t="s">
        <v>474</v>
      </c>
      <c r="Q136" s="2">
        <v>40</v>
      </c>
      <c r="R136" s="5">
        <v>68</v>
      </c>
      <c r="S136" s="5">
        <v>27.2</v>
      </c>
      <c r="T136" s="2">
        <v>41</v>
      </c>
      <c r="U136" t="s">
        <v>3</v>
      </c>
      <c r="V136" t="s">
        <v>73</v>
      </c>
      <c r="W136" s="5">
        <v>146.58000000000001</v>
      </c>
    </row>
    <row r="137" spans="1:23" ht="15" x14ac:dyDescent="0.2">
      <c r="A137" t="s">
        <v>1009</v>
      </c>
      <c r="B137" s="1">
        <f>45905</f>
        <v>45905</v>
      </c>
      <c r="C137" t="s">
        <v>0</v>
      </c>
      <c r="D137">
        <v>108108</v>
      </c>
      <c r="E137" s="2">
        <v>25004354</v>
      </c>
      <c r="F137" s="2">
        <v>3</v>
      </c>
      <c r="G137" t="s">
        <v>1421</v>
      </c>
      <c r="H137" t="s">
        <v>1103</v>
      </c>
      <c r="I137" t="s">
        <v>1717</v>
      </c>
      <c r="J137" t="s">
        <v>1326</v>
      </c>
      <c r="K137" s="3">
        <v>1</v>
      </c>
      <c r="L137" s="4">
        <v>17.52</v>
      </c>
      <c r="O137" t="s">
        <v>2</v>
      </c>
      <c r="P137" t="s">
        <v>474</v>
      </c>
      <c r="Q137" s="2">
        <v>20</v>
      </c>
      <c r="R137" s="5">
        <v>21.9</v>
      </c>
      <c r="S137" s="5">
        <v>4.38</v>
      </c>
      <c r="T137" s="2">
        <v>18</v>
      </c>
      <c r="U137" t="s">
        <v>3</v>
      </c>
      <c r="V137" t="s">
        <v>73</v>
      </c>
      <c r="W137" s="5">
        <v>146.58000000000001</v>
      </c>
    </row>
    <row r="138" spans="1:23" ht="15" x14ac:dyDescent="0.2">
      <c r="A138" t="s">
        <v>1009</v>
      </c>
      <c r="B138" s="1">
        <f>45905</f>
        <v>45905</v>
      </c>
      <c r="C138" t="s">
        <v>0</v>
      </c>
      <c r="D138">
        <v>108108</v>
      </c>
      <c r="E138" s="2">
        <v>25004354</v>
      </c>
      <c r="F138" s="2">
        <v>4</v>
      </c>
      <c r="G138" t="s">
        <v>1393</v>
      </c>
      <c r="H138" t="s">
        <v>1075</v>
      </c>
      <c r="I138" t="s">
        <v>1717</v>
      </c>
      <c r="J138" t="s">
        <v>1326</v>
      </c>
      <c r="K138" s="3">
        <v>1</v>
      </c>
      <c r="L138" s="4">
        <v>26.4</v>
      </c>
      <c r="O138" t="s">
        <v>2</v>
      </c>
      <c r="P138" t="s">
        <v>474</v>
      </c>
      <c r="Q138" s="2">
        <v>20</v>
      </c>
      <c r="R138" s="5">
        <v>33</v>
      </c>
      <c r="S138" s="5">
        <v>6.6</v>
      </c>
      <c r="T138" s="2">
        <v>26</v>
      </c>
      <c r="U138" t="s">
        <v>3</v>
      </c>
      <c r="V138" t="s">
        <v>73</v>
      </c>
      <c r="W138" s="5">
        <v>146.58000000000001</v>
      </c>
    </row>
    <row r="139" spans="1:23" ht="15" x14ac:dyDescent="0.2">
      <c r="A139" t="s">
        <v>1009</v>
      </c>
      <c r="B139" s="1">
        <f>45905</f>
        <v>45905</v>
      </c>
      <c r="C139" t="s">
        <v>0</v>
      </c>
      <c r="D139">
        <v>108108</v>
      </c>
      <c r="E139" s="2">
        <v>25004354</v>
      </c>
      <c r="F139" s="2">
        <v>5</v>
      </c>
      <c r="G139" t="s">
        <v>1422</v>
      </c>
      <c r="H139" t="s">
        <v>1104</v>
      </c>
      <c r="I139" t="s">
        <v>1717</v>
      </c>
      <c r="J139" t="s">
        <v>1326</v>
      </c>
      <c r="K139" s="3">
        <v>1</v>
      </c>
      <c r="L139" s="4">
        <v>59.92</v>
      </c>
      <c r="O139" t="s">
        <v>2</v>
      </c>
      <c r="P139" t="s">
        <v>474</v>
      </c>
      <c r="Q139" s="2">
        <v>20</v>
      </c>
      <c r="R139" s="5">
        <v>74.900000000000006</v>
      </c>
      <c r="S139" s="5">
        <v>14.98</v>
      </c>
      <c r="T139" s="2">
        <v>60</v>
      </c>
      <c r="U139" t="s">
        <v>3</v>
      </c>
      <c r="V139" t="s">
        <v>73</v>
      </c>
      <c r="W139" s="5">
        <v>146.58000000000001</v>
      </c>
    </row>
    <row r="140" spans="1:23" ht="15" x14ac:dyDescent="0.2">
      <c r="A140" t="s">
        <v>1009</v>
      </c>
      <c r="B140" s="1">
        <f>45905</f>
        <v>45905</v>
      </c>
      <c r="C140" t="s">
        <v>0</v>
      </c>
      <c r="D140">
        <v>108108</v>
      </c>
      <c r="E140" s="2">
        <v>25004355</v>
      </c>
      <c r="F140" s="2">
        <v>1</v>
      </c>
      <c r="G140" t="s">
        <v>1363</v>
      </c>
      <c r="H140" t="s">
        <v>1045</v>
      </c>
      <c r="I140" t="s">
        <v>1718</v>
      </c>
      <c r="J140" t="s">
        <v>1326</v>
      </c>
      <c r="K140" s="3">
        <v>1</v>
      </c>
      <c r="L140" s="4">
        <v>32</v>
      </c>
      <c r="O140" t="s">
        <v>2</v>
      </c>
      <c r="P140" t="s">
        <v>475</v>
      </c>
      <c r="Q140" s="2">
        <v>0</v>
      </c>
      <c r="R140" s="5">
        <v>32</v>
      </c>
      <c r="S140" s="5">
        <v>0</v>
      </c>
      <c r="T140" s="2">
        <v>32</v>
      </c>
      <c r="U140" t="s">
        <v>3</v>
      </c>
      <c r="V140" t="s">
        <v>74</v>
      </c>
      <c r="W140" s="5">
        <v>26.89</v>
      </c>
    </row>
    <row r="141" spans="1:23" ht="15" x14ac:dyDescent="0.2">
      <c r="A141" t="s">
        <v>1009</v>
      </c>
      <c r="B141" s="1">
        <f>45905</f>
        <v>45905</v>
      </c>
      <c r="C141" t="s">
        <v>0</v>
      </c>
      <c r="D141">
        <v>108108</v>
      </c>
      <c r="E141" s="2">
        <v>25004356</v>
      </c>
      <c r="F141" s="2">
        <v>1</v>
      </c>
      <c r="G141" t="s">
        <v>1345</v>
      </c>
      <c r="H141" t="s">
        <v>1027</v>
      </c>
      <c r="I141" t="s">
        <v>1719</v>
      </c>
      <c r="J141" t="s">
        <v>1326</v>
      </c>
      <c r="K141" s="3">
        <v>1</v>
      </c>
      <c r="L141" s="4">
        <v>27</v>
      </c>
      <c r="O141" t="s">
        <v>2</v>
      </c>
      <c r="P141" t="s">
        <v>476</v>
      </c>
      <c r="Q141" s="2">
        <v>0</v>
      </c>
      <c r="R141" s="5">
        <v>27</v>
      </c>
      <c r="S141" s="5">
        <v>0</v>
      </c>
      <c r="T141" s="2">
        <v>27</v>
      </c>
      <c r="U141" t="s">
        <v>3</v>
      </c>
      <c r="V141" t="s">
        <v>75</v>
      </c>
      <c r="W141" s="5">
        <v>22.69</v>
      </c>
    </row>
    <row r="142" spans="1:23" ht="15" x14ac:dyDescent="0.2">
      <c r="A142" t="s">
        <v>1009</v>
      </c>
      <c r="B142" s="1">
        <f>45905</f>
        <v>45905</v>
      </c>
      <c r="C142" t="s">
        <v>0</v>
      </c>
      <c r="D142">
        <v>108108</v>
      </c>
      <c r="E142" s="2">
        <v>25004357</v>
      </c>
      <c r="F142" s="2">
        <v>1</v>
      </c>
      <c r="G142" t="s">
        <v>1423</v>
      </c>
      <c r="H142" t="s">
        <v>1105</v>
      </c>
      <c r="I142" t="s">
        <v>1720</v>
      </c>
      <c r="J142" t="s">
        <v>1326</v>
      </c>
      <c r="K142" s="3">
        <v>1</v>
      </c>
      <c r="L142" s="4">
        <v>24.9</v>
      </c>
      <c r="O142" t="s">
        <v>2</v>
      </c>
      <c r="P142" t="s">
        <v>477</v>
      </c>
      <c r="Q142" s="2">
        <v>0</v>
      </c>
      <c r="R142" s="5">
        <v>24.9</v>
      </c>
      <c r="S142" s="5">
        <v>0</v>
      </c>
      <c r="T142" s="2">
        <v>25</v>
      </c>
      <c r="U142" t="s">
        <v>3</v>
      </c>
      <c r="V142" t="s">
        <v>76</v>
      </c>
      <c r="W142" s="5">
        <v>20.92</v>
      </c>
    </row>
    <row r="143" spans="1:23" ht="15" x14ac:dyDescent="0.2">
      <c r="A143" t="s">
        <v>1009</v>
      </c>
      <c r="B143" s="1">
        <f>45905</f>
        <v>45905</v>
      </c>
      <c r="C143" t="s">
        <v>0</v>
      </c>
      <c r="D143">
        <v>108108</v>
      </c>
      <c r="E143" s="2">
        <v>25004358</v>
      </c>
      <c r="F143" s="2">
        <v>1</v>
      </c>
      <c r="G143" t="s">
        <v>1424</v>
      </c>
      <c r="H143" t="s">
        <v>1106</v>
      </c>
      <c r="I143" t="s">
        <v>1721</v>
      </c>
      <c r="J143" t="s">
        <v>1326</v>
      </c>
      <c r="K143" s="3">
        <v>1</v>
      </c>
      <c r="L143" s="4">
        <v>64</v>
      </c>
      <c r="O143" t="s">
        <v>2</v>
      </c>
      <c r="P143" t="s">
        <v>478</v>
      </c>
      <c r="Q143" s="2">
        <v>20</v>
      </c>
      <c r="R143" s="5">
        <v>80</v>
      </c>
      <c r="S143" s="5">
        <v>16</v>
      </c>
      <c r="T143" s="2">
        <v>64</v>
      </c>
      <c r="U143" t="s">
        <v>3</v>
      </c>
      <c r="V143" t="s">
        <v>77</v>
      </c>
      <c r="W143" s="5">
        <v>75.290000000000006</v>
      </c>
    </row>
    <row r="144" spans="1:23" ht="15" x14ac:dyDescent="0.2">
      <c r="A144" t="s">
        <v>1009</v>
      </c>
      <c r="B144" s="1">
        <f>45905</f>
        <v>45905</v>
      </c>
      <c r="C144" t="s">
        <v>0</v>
      </c>
      <c r="D144">
        <v>108108</v>
      </c>
      <c r="E144" s="2">
        <v>25004358</v>
      </c>
      <c r="F144" s="2">
        <v>2</v>
      </c>
      <c r="G144" t="s">
        <v>1363</v>
      </c>
      <c r="H144" t="s">
        <v>1045</v>
      </c>
      <c r="I144" t="s">
        <v>1721</v>
      </c>
      <c r="J144" t="s">
        <v>1326</v>
      </c>
      <c r="K144" s="3">
        <v>1</v>
      </c>
      <c r="L144" s="4">
        <v>25.6</v>
      </c>
      <c r="O144" t="s">
        <v>2</v>
      </c>
      <c r="P144" t="s">
        <v>478</v>
      </c>
      <c r="Q144" s="2">
        <v>20</v>
      </c>
      <c r="R144" s="5">
        <v>32</v>
      </c>
      <c r="S144" s="5">
        <v>6.4</v>
      </c>
      <c r="T144" s="2">
        <v>26</v>
      </c>
      <c r="U144" t="s">
        <v>3</v>
      </c>
      <c r="V144" t="s">
        <v>77</v>
      </c>
      <c r="W144" s="5">
        <v>75.290000000000006</v>
      </c>
    </row>
    <row r="145" spans="1:23" ht="15" x14ac:dyDescent="0.2">
      <c r="A145" t="s">
        <v>1009</v>
      </c>
      <c r="B145" s="1">
        <f>45905</f>
        <v>45905</v>
      </c>
      <c r="C145" t="s">
        <v>0</v>
      </c>
      <c r="D145">
        <v>108108</v>
      </c>
      <c r="E145" s="2">
        <v>25004359</v>
      </c>
      <c r="F145" s="2">
        <v>1</v>
      </c>
      <c r="G145" t="s">
        <v>1425</v>
      </c>
      <c r="H145" t="s">
        <v>1107</v>
      </c>
      <c r="I145" t="s">
        <v>1722</v>
      </c>
      <c r="J145" t="s">
        <v>1326</v>
      </c>
      <c r="K145" s="3">
        <v>1</v>
      </c>
      <c r="L145" s="4">
        <v>110.4</v>
      </c>
      <c r="O145" t="s">
        <v>2</v>
      </c>
      <c r="P145" t="s">
        <v>479</v>
      </c>
      <c r="Q145" s="2">
        <v>20</v>
      </c>
      <c r="R145" s="5">
        <v>138</v>
      </c>
      <c r="S145" s="5">
        <v>27.6</v>
      </c>
      <c r="T145" s="2">
        <v>110</v>
      </c>
      <c r="U145" t="s">
        <v>3</v>
      </c>
      <c r="V145" t="s">
        <v>78</v>
      </c>
      <c r="W145" s="5">
        <v>92.77</v>
      </c>
    </row>
    <row r="146" spans="1:23" ht="15" x14ac:dyDescent="0.2">
      <c r="A146" t="s">
        <v>1009</v>
      </c>
      <c r="B146" s="1">
        <f>45905</f>
        <v>45905</v>
      </c>
      <c r="C146" t="s">
        <v>0</v>
      </c>
      <c r="D146">
        <v>108108</v>
      </c>
      <c r="E146" s="2">
        <v>25004360</v>
      </c>
      <c r="F146" s="2">
        <v>1</v>
      </c>
      <c r="G146" t="s">
        <v>1345</v>
      </c>
      <c r="H146" t="s">
        <v>1027</v>
      </c>
      <c r="I146" t="s">
        <v>1723</v>
      </c>
      <c r="J146" t="s">
        <v>1326</v>
      </c>
      <c r="K146" s="3">
        <v>1</v>
      </c>
      <c r="L146" s="4">
        <v>27</v>
      </c>
      <c r="O146" t="s">
        <v>2</v>
      </c>
      <c r="P146" t="s">
        <v>480</v>
      </c>
      <c r="Q146" s="2">
        <v>0</v>
      </c>
      <c r="R146" s="5">
        <v>27</v>
      </c>
      <c r="S146" s="5">
        <v>0</v>
      </c>
      <c r="T146" s="2">
        <v>27</v>
      </c>
      <c r="U146" t="s">
        <v>3</v>
      </c>
      <c r="V146" t="s">
        <v>79</v>
      </c>
      <c r="W146" s="5">
        <v>22.69</v>
      </c>
    </row>
    <row r="147" spans="1:23" ht="15" x14ac:dyDescent="0.2">
      <c r="A147" t="s">
        <v>1009</v>
      </c>
      <c r="B147" s="1">
        <f>45905</f>
        <v>45905</v>
      </c>
      <c r="C147" t="s">
        <v>0</v>
      </c>
      <c r="D147">
        <v>108108</v>
      </c>
      <c r="E147" s="2">
        <v>25004361</v>
      </c>
      <c r="F147" s="2">
        <v>1</v>
      </c>
      <c r="G147" t="s">
        <v>1345</v>
      </c>
      <c r="H147" t="s">
        <v>1027</v>
      </c>
      <c r="I147" t="s">
        <v>1647</v>
      </c>
      <c r="J147" t="s">
        <v>1326</v>
      </c>
      <c r="K147" s="3">
        <v>1</v>
      </c>
      <c r="L147" s="4">
        <v>27</v>
      </c>
      <c r="O147" t="s">
        <v>2</v>
      </c>
      <c r="P147" t="s">
        <v>481</v>
      </c>
      <c r="Q147" s="2">
        <v>0</v>
      </c>
      <c r="R147" s="5">
        <v>27</v>
      </c>
      <c r="S147" s="5">
        <v>0</v>
      </c>
      <c r="T147" s="2">
        <v>27</v>
      </c>
      <c r="U147" t="s">
        <v>3</v>
      </c>
      <c r="V147" t="s">
        <v>1322</v>
      </c>
      <c r="W147" s="5">
        <v>22.69</v>
      </c>
    </row>
    <row r="148" spans="1:23" ht="15" x14ac:dyDescent="0.2">
      <c r="A148" t="s">
        <v>1009</v>
      </c>
      <c r="B148" s="1">
        <f>45905</f>
        <v>45905</v>
      </c>
      <c r="C148" t="s">
        <v>0</v>
      </c>
      <c r="D148">
        <v>108108</v>
      </c>
      <c r="E148" s="2">
        <v>25004362</v>
      </c>
      <c r="F148" s="2">
        <v>1</v>
      </c>
      <c r="G148" t="s">
        <v>1426</v>
      </c>
      <c r="H148" t="s">
        <v>1108</v>
      </c>
      <c r="I148" t="s">
        <v>1724</v>
      </c>
      <c r="J148" t="s">
        <v>1326</v>
      </c>
      <c r="K148" s="3">
        <v>1</v>
      </c>
      <c r="L148" s="4">
        <v>42</v>
      </c>
      <c r="O148" t="s">
        <v>2</v>
      </c>
      <c r="P148" t="s">
        <v>482</v>
      </c>
      <c r="Q148" s="2">
        <v>40</v>
      </c>
      <c r="R148" s="5">
        <v>70</v>
      </c>
      <c r="S148" s="5">
        <v>28</v>
      </c>
      <c r="T148" s="2">
        <v>42</v>
      </c>
      <c r="U148" t="s">
        <v>3</v>
      </c>
      <c r="V148" t="s">
        <v>80</v>
      </c>
      <c r="W148" s="5">
        <v>35.29</v>
      </c>
    </row>
    <row r="149" spans="1:23" ht="15" x14ac:dyDescent="0.2">
      <c r="A149" t="s">
        <v>1009</v>
      </c>
      <c r="B149" s="1">
        <f>45905</f>
        <v>45905</v>
      </c>
      <c r="C149" t="s">
        <v>0</v>
      </c>
      <c r="D149">
        <v>108108</v>
      </c>
      <c r="E149" s="2">
        <v>25004363</v>
      </c>
      <c r="F149" s="2">
        <v>1</v>
      </c>
      <c r="G149" t="s">
        <v>1427</v>
      </c>
      <c r="H149" t="s">
        <v>1109</v>
      </c>
      <c r="I149" t="s">
        <v>1725</v>
      </c>
      <c r="J149" t="s">
        <v>1326</v>
      </c>
      <c r="K149" s="3">
        <v>1</v>
      </c>
      <c r="L149" s="4">
        <v>21.9</v>
      </c>
      <c r="O149" t="s">
        <v>2</v>
      </c>
      <c r="P149" t="s">
        <v>483</v>
      </c>
      <c r="Q149" s="2">
        <v>0</v>
      </c>
      <c r="R149" s="5">
        <v>21.9</v>
      </c>
      <c r="S149" s="5">
        <v>0</v>
      </c>
      <c r="T149" s="2">
        <v>22</v>
      </c>
      <c r="U149" t="s">
        <v>3</v>
      </c>
      <c r="V149" t="s">
        <v>81</v>
      </c>
      <c r="W149" s="5">
        <v>18.399999999999999</v>
      </c>
    </row>
    <row r="150" spans="1:23" ht="15" x14ac:dyDescent="0.2">
      <c r="A150" t="s">
        <v>1009</v>
      </c>
      <c r="B150" s="1">
        <f>45905</f>
        <v>45905</v>
      </c>
      <c r="C150" t="s">
        <v>0</v>
      </c>
      <c r="D150">
        <v>108108</v>
      </c>
      <c r="E150" s="2">
        <v>25004364</v>
      </c>
      <c r="F150" s="2">
        <v>1</v>
      </c>
      <c r="G150" t="s">
        <v>1376</v>
      </c>
      <c r="H150" t="s">
        <v>1058</v>
      </c>
      <c r="I150" t="s">
        <v>1726</v>
      </c>
      <c r="J150" t="s">
        <v>1326</v>
      </c>
      <c r="K150" s="3">
        <v>1</v>
      </c>
      <c r="L150" s="4">
        <v>67.92</v>
      </c>
      <c r="O150" t="s">
        <v>2</v>
      </c>
      <c r="P150" t="s">
        <v>484</v>
      </c>
      <c r="Q150" s="2">
        <v>20</v>
      </c>
      <c r="R150" s="5">
        <v>84.9</v>
      </c>
      <c r="S150" s="5">
        <v>16.98</v>
      </c>
      <c r="T150" s="2">
        <v>68</v>
      </c>
      <c r="U150" t="s">
        <v>3</v>
      </c>
      <c r="V150" t="s">
        <v>82</v>
      </c>
      <c r="W150" s="5">
        <v>87.33</v>
      </c>
    </row>
    <row r="151" spans="1:23" ht="15" x14ac:dyDescent="0.2">
      <c r="A151" t="s">
        <v>1009</v>
      </c>
      <c r="B151" s="1">
        <f>45905</f>
        <v>45905</v>
      </c>
      <c r="C151" t="s">
        <v>0</v>
      </c>
      <c r="D151">
        <v>108108</v>
      </c>
      <c r="E151" s="2">
        <v>25004364</v>
      </c>
      <c r="F151" s="2">
        <v>2</v>
      </c>
      <c r="G151" t="s">
        <v>1428</v>
      </c>
      <c r="H151" t="s">
        <v>1110</v>
      </c>
      <c r="I151" t="s">
        <v>1726</v>
      </c>
      <c r="J151" t="s">
        <v>1326</v>
      </c>
      <c r="K151" s="3">
        <v>1</v>
      </c>
      <c r="L151" s="4">
        <v>36</v>
      </c>
      <c r="O151" t="s">
        <v>2</v>
      </c>
      <c r="P151" t="s">
        <v>484</v>
      </c>
      <c r="Q151" s="2">
        <v>20</v>
      </c>
      <c r="R151" s="5">
        <v>45</v>
      </c>
      <c r="S151" s="5">
        <v>9</v>
      </c>
      <c r="T151" s="2">
        <v>36</v>
      </c>
      <c r="U151" t="s">
        <v>3</v>
      </c>
      <c r="V151" t="s">
        <v>82</v>
      </c>
      <c r="W151" s="5">
        <v>87.33</v>
      </c>
    </row>
    <row r="152" spans="1:23" ht="15" x14ac:dyDescent="0.2">
      <c r="A152" t="s">
        <v>1009</v>
      </c>
      <c r="B152" s="1">
        <f>45905</f>
        <v>45905</v>
      </c>
      <c r="C152" t="s">
        <v>0</v>
      </c>
      <c r="D152">
        <v>108108</v>
      </c>
      <c r="E152" s="2">
        <v>25004364</v>
      </c>
      <c r="F152" s="2">
        <v>3</v>
      </c>
      <c r="G152" t="s">
        <v>1332</v>
      </c>
      <c r="H152" t="s">
        <v>362</v>
      </c>
      <c r="I152" t="s">
        <v>1726</v>
      </c>
      <c r="J152" t="s">
        <v>1326</v>
      </c>
      <c r="K152" s="3">
        <v>1</v>
      </c>
      <c r="L152" s="4">
        <v>0</v>
      </c>
      <c r="O152" t="s">
        <v>2</v>
      </c>
      <c r="P152" t="s">
        <v>484</v>
      </c>
      <c r="Q152" s="2">
        <v>100</v>
      </c>
      <c r="R152" s="5">
        <v>5</v>
      </c>
      <c r="S152" s="5">
        <v>5</v>
      </c>
      <c r="T152" s="2">
        <v>0</v>
      </c>
      <c r="U152" t="s">
        <v>3</v>
      </c>
      <c r="V152" t="s">
        <v>82</v>
      </c>
      <c r="W152" s="5">
        <v>87.33</v>
      </c>
    </row>
    <row r="153" spans="1:23" ht="15" x14ac:dyDescent="0.2">
      <c r="A153" t="s">
        <v>1009</v>
      </c>
      <c r="B153" s="1">
        <f>45905</f>
        <v>45905</v>
      </c>
      <c r="C153" t="s">
        <v>0</v>
      </c>
      <c r="D153">
        <v>108108</v>
      </c>
      <c r="E153" s="2">
        <v>25004365</v>
      </c>
      <c r="F153" s="2">
        <v>1</v>
      </c>
      <c r="G153" t="s">
        <v>1429</v>
      </c>
      <c r="H153" t="s">
        <v>1111</v>
      </c>
      <c r="I153" t="s">
        <v>1727</v>
      </c>
      <c r="J153" t="s">
        <v>1326</v>
      </c>
      <c r="K153" s="3">
        <v>1</v>
      </c>
      <c r="L153" s="4">
        <v>21.9</v>
      </c>
      <c r="O153" t="s">
        <v>2</v>
      </c>
      <c r="P153" t="s">
        <v>485</v>
      </c>
      <c r="Q153" s="2">
        <v>0</v>
      </c>
      <c r="R153" s="5">
        <v>21.9</v>
      </c>
      <c r="S153" s="5">
        <v>0</v>
      </c>
      <c r="T153" s="2">
        <v>22</v>
      </c>
      <c r="U153" t="s">
        <v>3</v>
      </c>
      <c r="V153" t="s">
        <v>83</v>
      </c>
      <c r="W153" s="5">
        <v>22.6</v>
      </c>
    </row>
    <row r="154" spans="1:23" ht="15" x14ac:dyDescent="0.2">
      <c r="A154" t="s">
        <v>1009</v>
      </c>
      <c r="B154" s="1">
        <f>45905</f>
        <v>45905</v>
      </c>
      <c r="C154" t="s">
        <v>0</v>
      </c>
      <c r="D154">
        <v>108108</v>
      </c>
      <c r="E154" s="2">
        <v>25004365</v>
      </c>
      <c r="F154" s="2">
        <v>2</v>
      </c>
      <c r="G154" t="s">
        <v>1332</v>
      </c>
      <c r="H154" t="s">
        <v>362</v>
      </c>
      <c r="I154" t="s">
        <v>1727</v>
      </c>
      <c r="J154" t="s">
        <v>1326</v>
      </c>
      <c r="K154" s="3">
        <v>1</v>
      </c>
      <c r="L154" s="4">
        <v>5</v>
      </c>
      <c r="O154" t="s">
        <v>2</v>
      </c>
      <c r="P154" t="s">
        <v>485</v>
      </c>
      <c r="Q154" s="2">
        <v>0</v>
      </c>
      <c r="R154" s="5">
        <v>5</v>
      </c>
      <c r="S154" s="5">
        <v>0</v>
      </c>
      <c r="T154" s="2">
        <v>5</v>
      </c>
      <c r="U154" t="s">
        <v>3</v>
      </c>
      <c r="V154" t="s">
        <v>83</v>
      </c>
      <c r="W154" s="5">
        <v>22.6</v>
      </c>
    </row>
    <row r="155" spans="1:23" ht="15" x14ac:dyDescent="0.2">
      <c r="A155" t="s">
        <v>1009</v>
      </c>
      <c r="B155" s="1">
        <f>45905</f>
        <v>45905</v>
      </c>
      <c r="C155" t="s">
        <v>0</v>
      </c>
      <c r="D155">
        <v>108108</v>
      </c>
      <c r="E155" s="2">
        <v>25004366</v>
      </c>
      <c r="F155" s="2">
        <v>1</v>
      </c>
      <c r="G155" t="s">
        <v>1430</v>
      </c>
      <c r="H155" t="s">
        <v>1112</v>
      </c>
      <c r="I155" t="s">
        <v>1728</v>
      </c>
      <c r="J155" t="s">
        <v>1326</v>
      </c>
      <c r="K155" s="3">
        <v>1</v>
      </c>
      <c r="L155" s="4">
        <v>26.9</v>
      </c>
      <c r="O155" t="s">
        <v>2</v>
      </c>
      <c r="P155" t="s">
        <v>486</v>
      </c>
      <c r="Q155" s="2">
        <v>10</v>
      </c>
      <c r="R155" s="5">
        <v>29.9</v>
      </c>
      <c r="S155" s="5">
        <v>3</v>
      </c>
      <c r="T155" s="2">
        <v>27</v>
      </c>
      <c r="U155" t="s">
        <v>3</v>
      </c>
      <c r="V155" t="s">
        <v>83</v>
      </c>
      <c r="W155" s="5">
        <v>22.61</v>
      </c>
    </row>
    <row r="156" spans="1:23" ht="15" x14ac:dyDescent="0.2">
      <c r="A156" t="s">
        <v>1009</v>
      </c>
      <c r="B156" s="1">
        <f>45905</f>
        <v>45905</v>
      </c>
      <c r="C156" t="s">
        <v>0</v>
      </c>
      <c r="D156">
        <v>108108</v>
      </c>
      <c r="E156" s="2">
        <v>25004366</v>
      </c>
      <c r="F156" s="2">
        <v>2</v>
      </c>
      <c r="G156" t="s">
        <v>1332</v>
      </c>
      <c r="H156" t="s">
        <v>362</v>
      </c>
      <c r="I156" t="s">
        <v>1728</v>
      </c>
      <c r="J156" t="s">
        <v>1326</v>
      </c>
      <c r="K156" s="3">
        <v>1</v>
      </c>
      <c r="L156" s="4">
        <v>0</v>
      </c>
      <c r="O156" t="s">
        <v>2</v>
      </c>
      <c r="P156" t="s">
        <v>486</v>
      </c>
      <c r="Q156" s="2">
        <v>100</v>
      </c>
      <c r="R156" s="5">
        <v>5</v>
      </c>
      <c r="S156" s="5">
        <v>5</v>
      </c>
      <c r="T156" s="2">
        <v>0</v>
      </c>
      <c r="U156" t="s">
        <v>3</v>
      </c>
      <c r="V156" t="s">
        <v>83</v>
      </c>
      <c r="W156" s="5">
        <v>22.61</v>
      </c>
    </row>
    <row r="157" spans="1:23" ht="15" x14ac:dyDescent="0.2">
      <c r="A157" t="s">
        <v>1009</v>
      </c>
      <c r="B157" s="1">
        <f>45905</f>
        <v>45905</v>
      </c>
      <c r="C157" t="s">
        <v>0</v>
      </c>
      <c r="D157">
        <v>108108</v>
      </c>
      <c r="E157" s="2">
        <v>25004367</v>
      </c>
      <c r="F157" s="2">
        <v>1</v>
      </c>
      <c r="G157" t="s">
        <v>1393</v>
      </c>
      <c r="H157" t="s">
        <v>1075</v>
      </c>
      <c r="I157" t="s">
        <v>1729</v>
      </c>
      <c r="J157" t="s">
        <v>1323</v>
      </c>
      <c r="K157" s="3">
        <v>1</v>
      </c>
      <c r="L157" s="4">
        <v>33</v>
      </c>
      <c r="O157" t="s">
        <v>2</v>
      </c>
      <c r="P157" t="s">
        <v>487</v>
      </c>
      <c r="Q157" s="2">
        <v>0</v>
      </c>
      <c r="R157" s="5">
        <v>33</v>
      </c>
      <c r="S157" s="5">
        <v>0</v>
      </c>
      <c r="T157" s="2">
        <v>33</v>
      </c>
      <c r="U157" t="s">
        <v>3</v>
      </c>
      <c r="V157" t="s">
        <v>84</v>
      </c>
      <c r="W157" s="5">
        <v>27.73</v>
      </c>
    </row>
    <row r="158" spans="1:23" ht="15" x14ac:dyDescent="0.2">
      <c r="A158" t="s">
        <v>1009</v>
      </c>
      <c r="B158" s="1">
        <f>45905</f>
        <v>45905</v>
      </c>
      <c r="C158" t="s">
        <v>0</v>
      </c>
      <c r="D158">
        <v>108108</v>
      </c>
      <c r="E158" s="2">
        <v>25004368</v>
      </c>
      <c r="F158" s="2">
        <v>1</v>
      </c>
      <c r="G158" t="s">
        <v>1431</v>
      </c>
      <c r="H158" t="s">
        <v>1113</v>
      </c>
      <c r="I158" t="s">
        <v>1730</v>
      </c>
      <c r="J158" t="s">
        <v>1323</v>
      </c>
      <c r="K158" s="3">
        <v>1</v>
      </c>
      <c r="L158" s="4">
        <v>22.9</v>
      </c>
      <c r="O158" t="s">
        <v>2</v>
      </c>
      <c r="P158" t="s">
        <v>488</v>
      </c>
      <c r="Q158" s="2">
        <v>0</v>
      </c>
      <c r="R158" s="5">
        <v>22.9</v>
      </c>
      <c r="S158" s="5">
        <v>0</v>
      </c>
      <c r="T158" s="2">
        <v>23</v>
      </c>
      <c r="U158" t="s">
        <v>3</v>
      </c>
      <c r="V158" t="s">
        <v>85</v>
      </c>
      <c r="W158" s="5">
        <v>23.44</v>
      </c>
    </row>
    <row r="159" spans="1:23" ht="15" x14ac:dyDescent="0.2">
      <c r="A159" t="s">
        <v>1009</v>
      </c>
      <c r="B159" s="1">
        <f>45905</f>
        <v>45905</v>
      </c>
      <c r="C159" t="s">
        <v>0</v>
      </c>
      <c r="D159">
        <v>108108</v>
      </c>
      <c r="E159" s="2">
        <v>25004368</v>
      </c>
      <c r="F159" s="2">
        <v>2</v>
      </c>
      <c r="G159" t="s">
        <v>1332</v>
      </c>
      <c r="H159" t="s">
        <v>362</v>
      </c>
      <c r="I159" t="s">
        <v>1730</v>
      </c>
      <c r="J159" t="s">
        <v>1323</v>
      </c>
      <c r="K159" s="3">
        <v>1</v>
      </c>
      <c r="L159" s="4">
        <v>5</v>
      </c>
      <c r="O159" t="s">
        <v>2</v>
      </c>
      <c r="P159" t="s">
        <v>488</v>
      </c>
      <c r="Q159" s="2">
        <v>0</v>
      </c>
      <c r="R159" s="5">
        <v>5</v>
      </c>
      <c r="S159" s="5">
        <v>0</v>
      </c>
      <c r="T159" s="2">
        <v>5</v>
      </c>
      <c r="U159" t="s">
        <v>3</v>
      </c>
      <c r="V159" t="s">
        <v>85</v>
      </c>
      <c r="W159" s="5">
        <v>23.44</v>
      </c>
    </row>
    <row r="160" spans="1:23" ht="15" x14ac:dyDescent="0.2">
      <c r="A160" t="s">
        <v>1009</v>
      </c>
      <c r="B160" s="1">
        <f>45905</f>
        <v>45905</v>
      </c>
      <c r="C160" t="s">
        <v>0</v>
      </c>
      <c r="D160">
        <v>108108</v>
      </c>
      <c r="E160" s="2">
        <v>25004369</v>
      </c>
      <c r="F160" s="2">
        <v>1</v>
      </c>
      <c r="G160" t="s">
        <v>1432</v>
      </c>
      <c r="H160" t="s">
        <v>1114</v>
      </c>
      <c r="I160" t="s">
        <v>1647</v>
      </c>
      <c r="J160" t="s">
        <v>1323</v>
      </c>
      <c r="K160" s="3">
        <v>1</v>
      </c>
      <c r="L160" s="4">
        <v>26.9</v>
      </c>
      <c r="O160" t="s">
        <v>2</v>
      </c>
      <c r="P160" t="s">
        <v>489</v>
      </c>
      <c r="Q160" s="2">
        <v>0</v>
      </c>
      <c r="R160" s="5">
        <v>26.9</v>
      </c>
      <c r="S160" s="5">
        <v>0</v>
      </c>
      <c r="T160" s="2">
        <v>27</v>
      </c>
      <c r="U160" t="s">
        <v>3</v>
      </c>
      <c r="V160" t="s">
        <v>1322</v>
      </c>
      <c r="W160" s="5">
        <v>22.61</v>
      </c>
    </row>
    <row r="161" spans="1:23" ht="15" x14ac:dyDescent="0.2">
      <c r="A161" t="s">
        <v>1009</v>
      </c>
      <c r="B161" s="1">
        <f>45905</f>
        <v>45905</v>
      </c>
      <c r="C161" t="s">
        <v>0</v>
      </c>
      <c r="D161">
        <v>108108</v>
      </c>
      <c r="E161" s="2">
        <v>25004370</v>
      </c>
      <c r="F161" s="2">
        <v>1</v>
      </c>
      <c r="G161" t="s">
        <v>1433</v>
      </c>
      <c r="H161" t="s">
        <v>1115</v>
      </c>
      <c r="I161" t="s">
        <v>1731</v>
      </c>
      <c r="J161" t="s">
        <v>1323</v>
      </c>
      <c r="K161" s="3">
        <v>1</v>
      </c>
      <c r="L161" s="4">
        <v>29.9</v>
      </c>
      <c r="O161" t="s">
        <v>2</v>
      </c>
      <c r="P161" t="s">
        <v>490</v>
      </c>
      <c r="Q161" s="2">
        <v>0</v>
      </c>
      <c r="R161" s="5">
        <v>29.9</v>
      </c>
      <c r="S161" s="5">
        <v>0</v>
      </c>
      <c r="T161" s="2">
        <v>30</v>
      </c>
      <c r="U161" t="s">
        <v>3</v>
      </c>
      <c r="V161" t="s">
        <v>86</v>
      </c>
      <c r="W161" s="5">
        <v>29.33</v>
      </c>
    </row>
    <row r="162" spans="1:23" ht="15" x14ac:dyDescent="0.2">
      <c r="A162" t="s">
        <v>1009</v>
      </c>
      <c r="B162" s="1">
        <f>45905</f>
        <v>45905</v>
      </c>
      <c r="C162" t="s">
        <v>0</v>
      </c>
      <c r="D162">
        <v>108108</v>
      </c>
      <c r="E162" s="2">
        <v>25004370</v>
      </c>
      <c r="F162" s="2">
        <v>2</v>
      </c>
      <c r="G162" t="s">
        <v>1332</v>
      </c>
      <c r="H162" t="s">
        <v>362</v>
      </c>
      <c r="I162" t="s">
        <v>1731</v>
      </c>
      <c r="J162" t="s">
        <v>1323</v>
      </c>
      <c r="K162" s="3">
        <v>1</v>
      </c>
      <c r="L162" s="4">
        <v>5</v>
      </c>
      <c r="O162" t="s">
        <v>2</v>
      </c>
      <c r="P162" t="s">
        <v>490</v>
      </c>
      <c r="Q162" s="2">
        <v>0</v>
      </c>
      <c r="R162" s="5">
        <v>5</v>
      </c>
      <c r="S162" s="5">
        <v>0</v>
      </c>
      <c r="T162" s="2">
        <v>5</v>
      </c>
      <c r="U162" t="s">
        <v>3</v>
      </c>
      <c r="V162" t="s">
        <v>86</v>
      </c>
      <c r="W162" s="5">
        <v>29.33</v>
      </c>
    </row>
    <row r="163" spans="1:23" ht="15" x14ac:dyDescent="0.2">
      <c r="A163" t="s">
        <v>1009</v>
      </c>
      <c r="B163" s="1">
        <f>45905</f>
        <v>45905</v>
      </c>
      <c r="C163" t="s">
        <v>0</v>
      </c>
      <c r="D163">
        <v>108108</v>
      </c>
      <c r="E163" s="2">
        <v>25004371</v>
      </c>
      <c r="F163" s="2">
        <v>1</v>
      </c>
      <c r="G163" t="s">
        <v>1434</v>
      </c>
      <c r="H163" t="s">
        <v>1116</v>
      </c>
      <c r="I163" t="s">
        <v>1732</v>
      </c>
      <c r="J163" t="s">
        <v>1323</v>
      </c>
      <c r="K163" s="3">
        <v>1</v>
      </c>
      <c r="L163" s="4">
        <v>22.9</v>
      </c>
      <c r="O163" t="s">
        <v>2</v>
      </c>
      <c r="P163" t="s">
        <v>491</v>
      </c>
      <c r="Q163" s="2">
        <v>0</v>
      </c>
      <c r="R163" s="5">
        <v>22.9</v>
      </c>
      <c r="S163" s="5">
        <v>0</v>
      </c>
      <c r="T163" s="2">
        <v>23</v>
      </c>
      <c r="U163" t="s">
        <v>3</v>
      </c>
      <c r="V163" t="s">
        <v>87</v>
      </c>
      <c r="W163" s="5">
        <v>19.239999999999998</v>
      </c>
    </row>
    <row r="164" spans="1:23" ht="15" x14ac:dyDescent="0.2">
      <c r="A164" t="s">
        <v>1009</v>
      </c>
      <c r="B164" s="1">
        <f>45905</f>
        <v>45905</v>
      </c>
      <c r="C164" t="s">
        <v>0</v>
      </c>
      <c r="D164">
        <v>108108</v>
      </c>
      <c r="E164" s="2">
        <v>25004372</v>
      </c>
      <c r="F164" s="2">
        <v>1</v>
      </c>
      <c r="G164" t="s">
        <v>1349</v>
      </c>
      <c r="H164" t="s">
        <v>1031</v>
      </c>
      <c r="I164" t="s">
        <v>1733</v>
      </c>
      <c r="J164" t="s">
        <v>1323</v>
      </c>
      <c r="K164" s="3">
        <v>1</v>
      </c>
      <c r="L164" s="4">
        <v>21.9</v>
      </c>
      <c r="O164" t="s">
        <v>2</v>
      </c>
      <c r="P164" t="s">
        <v>492</v>
      </c>
      <c r="Q164" s="2">
        <v>0</v>
      </c>
      <c r="R164" s="5">
        <v>21.9</v>
      </c>
      <c r="S164" s="5">
        <v>0</v>
      </c>
      <c r="T164" s="2">
        <v>22</v>
      </c>
      <c r="U164" t="s">
        <v>3</v>
      </c>
      <c r="V164" t="s">
        <v>88</v>
      </c>
      <c r="W164" s="5">
        <v>18.399999999999999</v>
      </c>
    </row>
    <row r="165" spans="1:23" ht="15" x14ac:dyDescent="0.2">
      <c r="A165" t="s">
        <v>1009</v>
      </c>
      <c r="B165" s="1">
        <f>45905</f>
        <v>45905</v>
      </c>
      <c r="C165" t="s">
        <v>0</v>
      </c>
      <c r="D165">
        <v>108108</v>
      </c>
      <c r="E165" s="2">
        <v>25004373</v>
      </c>
      <c r="F165" s="2">
        <v>1</v>
      </c>
      <c r="G165" t="s">
        <v>1646</v>
      </c>
      <c r="H165" t="s">
        <v>361</v>
      </c>
      <c r="I165" t="s">
        <v>1647</v>
      </c>
      <c r="J165" t="s">
        <v>1323</v>
      </c>
      <c r="K165" s="3">
        <v>1</v>
      </c>
      <c r="L165" s="4">
        <v>-450</v>
      </c>
      <c r="Q165" s="2">
        <v>0</v>
      </c>
      <c r="R165" s="5">
        <v>-450</v>
      </c>
      <c r="S165" s="5">
        <v>0</v>
      </c>
      <c r="T165" s="2">
        <v>-450</v>
      </c>
      <c r="U165" t="s">
        <v>1</v>
      </c>
      <c r="V165" t="s">
        <v>361</v>
      </c>
      <c r="W165" s="5">
        <v>-450</v>
      </c>
    </row>
    <row r="166" spans="1:23" ht="15" x14ac:dyDescent="0.2">
      <c r="A166" t="s">
        <v>1009</v>
      </c>
      <c r="B166" s="1">
        <f>45906</f>
        <v>45906</v>
      </c>
      <c r="C166" t="s">
        <v>0</v>
      </c>
      <c r="D166">
        <v>108108</v>
      </c>
      <c r="E166" s="2">
        <v>25004374</v>
      </c>
      <c r="F166" s="2">
        <v>1</v>
      </c>
      <c r="G166" t="s">
        <v>1646</v>
      </c>
      <c r="H166" t="s">
        <v>361</v>
      </c>
      <c r="I166" t="s">
        <v>1647</v>
      </c>
      <c r="J166" t="s">
        <v>1323</v>
      </c>
      <c r="K166" s="3">
        <v>1</v>
      </c>
      <c r="L166" s="4">
        <v>450</v>
      </c>
      <c r="Q166" s="2">
        <v>0</v>
      </c>
      <c r="R166" s="5">
        <v>450</v>
      </c>
      <c r="S166" s="5">
        <v>0</v>
      </c>
      <c r="T166" s="2">
        <v>450</v>
      </c>
      <c r="U166" t="s">
        <v>1</v>
      </c>
      <c r="V166" t="s">
        <v>361</v>
      </c>
      <c r="W166" s="5">
        <v>450</v>
      </c>
    </row>
    <row r="167" spans="1:23" ht="15" x14ac:dyDescent="0.2">
      <c r="A167" t="s">
        <v>1009</v>
      </c>
      <c r="B167" s="1">
        <f>45906</f>
        <v>45906</v>
      </c>
      <c r="C167" t="s">
        <v>0</v>
      </c>
      <c r="D167">
        <v>108108</v>
      </c>
      <c r="E167" s="2">
        <v>25004375</v>
      </c>
      <c r="F167" s="2">
        <v>1</v>
      </c>
      <c r="G167" t="s">
        <v>1435</v>
      </c>
      <c r="H167" t="s">
        <v>1117</v>
      </c>
      <c r="I167" t="s">
        <v>1647</v>
      </c>
      <c r="J167" t="s">
        <v>1323</v>
      </c>
      <c r="K167" s="3">
        <v>1</v>
      </c>
      <c r="L167" s="4">
        <v>9</v>
      </c>
      <c r="O167" t="s">
        <v>2</v>
      </c>
      <c r="P167" t="s">
        <v>493</v>
      </c>
      <c r="Q167" s="2">
        <v>40</v>
      </c>
      <c r="R167" s="5">
        <v>15</v>
      </c>
      <c r="S167" s="5">
        <v>6</v>
      </c>
      <c r="T167" s="2">
        <v>9</v>
      </c>
      <c r="U167" t="s">
        <v>3</v>
      </c>
      <c r="V167" t="s">
        <v>1322</v>
      </c>
      <c r="W167" s="5">
        <v>7.56</v>
      </c>
    </row>
    <row r="168" spans="1:23" ht="15" x14ac:dyDescent="0.2">
      <c r="A168" t="s">
        <v>1009</v>
      </c>
      <c r="B168" s="1">
        <f>45906</f>
        <v>45906</v>
      </c>
      <c r="C168" t="s">
        <v>0</v>
      </c>
      <c r="D168">
        <v>108108</v>
      </c>
      <c r="E168" s="2">
        <v>25004376</v>
      </c>
      <c r="F168" s="2">
        <v>1</v>
      </c>
      <c r="G168" t="s">
        <v>1436</v>
      </c>
      <c r="H168" t="s">
        <v>1118</v>
      </c>
      <c r="I168" t="s">
        <v>1734</v>
      </c>
      <c r="J168" t="s">
        <v>1323</v>
      </c>
      <c r="K168" s="3">
        <v>1</v>
      </c>
      <c r="L168" s="4">
        <v>27.9</v>
      </c>
      <c r="O168" t="s">
        <v>2</v>
      </c>
      <c r="P168" t="s">
        <v>494</v>
      </c>
      <c r="Q168" s="2">
        <v>0</v>
      </c>
      <c r="R168" s="5">
        <v>27.9</v>
      </c>
      <c r="S168" s="5">
        <v>0</v>
      </c>
      <c r="T168" s="2">
        <v>28</v>
      </c>
      <c r="U168" t="s">
        <v>3</v>
      </c>
      <c r="V168" t="s">
        <v>89</v>
      </c>
      <c r="W168" s="5">
        <v>27.65</v>
      </c>
    </row>
    <row r="169" spans="1:23" ht="15" x14ac:dyDescent="0.2">
      <c r="A169" t="s">
        <v>1009</v>
      </c>
      <c r="B169" s="1">
        <f>45906</f>
        <v>45906</v>
      </c>
      <c r="C169" t="s">
        <v>0</v>
      </c>
      <c r="D169">
        <v>108108</v>
      </c>
      <c r="E169" s="2">
        <v>25004376</v>
      </c>
      <c r="F169" s="2">
        <v>2</v>
      </c>
      <c r="G169" t="s">
        <v>1332</v>
      </c>
      <c r="H169" t="s">
        <v>362</v>
      </c>
      <c r="I169" t="s">
        <v>1734</v>
      </c>
      <c r="J169" t="s">
        <v>1323</v>
      </c>
      <c r="K169" s="3">
        <v>1</v>
      </c>
      <c r="L169" s="4">
        <v>5</v>
      </c>
      <c r="O169" t="s">
        <v>2</v>
      </c>
      <c r="P169" t="s">
        <v>494</v>
      </c>
      <c r="Q169" s="2">
        <v>0</v>
      </c>
      <c r="R169" s="5">
        <v>5</v>
      </c>
      <c r="S169" s="5">
        <v>0</v>
      </c>
      <c r="T169" s="2">
        <v>5</v>
      </c>
      <c r="U169" t="s">
        <v>3</v>
      </c>
      <c r="V169" t="s">
        <v>89</v>
      </c>
      <c r="W169" s="5">
        <v>27.65</v>
      </c>
    </row>
    <row r="170" spans="1:23" ht="15" x14ac:dyDescent="0.2">
      <c r="A170" t="s">
        <v>1009</v>
      </c>
      <c r="B170" s="1">
        <f>45906</f>
        <v>45906</v>
      </c>
      <c r="C170" t="s">
        <v>0</v>
      </c>
      <c r="D170">
        <v>108108</v>
      </c>
      <c r="E170" s="2">
        <v>25004377</v>
      </c>
      <c r="F170" s="2">
        <v>1</v>
      </c>
      <c r="G170" t="s">
        <v>1437</v>
      </c>
      <c r="H170" t="s">
        <v>1119</v>
      </c>
      <c r="I170" t="s">
        <v>1647</v>
      </c>
      <c r="J170" t="s">
        <v>1323</v>
      </c>
      <c r="K170" s="3">
        <v>1</v>
      </c>
      <c r="L170" s="4">
        <v>9.9</v>
      </c>
      <c r="O170" t="s">
        <v>2</v>
      </c>
      <c r="P170" t="s">
        <v>495</v>
      </c>
      <c r="Q170" s="2">
        <v>0</v>
      </c>
      <c r="R170" s="5">
        <v>9.9</v>
      </c>
      <c r="S170" s="5">
        <v>0</v>
      </c>
      <c r="T170" s="2">
        <v>10</v>
      </c>
      <c r="U170" t="s">
        <v>3</v>
      </c>
      <c r="V170" t="s">
        <v>1322</v>
      </c>
      <c r="W170" s="5">
        <v>8.32</v>
      </c>
    </row>
    <row r="171" spans="1:23" ht="15" x14ac:dyDescent="0.2">
      <c r="A171" t="s">
        <v>1009</v>
      </c>
      <c r="B171" s="1">
        <f>45906</f>
        <v>45906</v>
      </c>
      <c r="C171" t="s">
        <v>0</v>
      </c>
      <c r="D171">
        <v>108108</v>
      </c>
      <c r="E171" s="2">
        <v>25004378</v>
      </c>
      <c r="F171" s="2">
        <v>1</v>
      </c>
      <c r="G171" t="s">
        <v>1438</v>
      </c>
      <c r="H171" t="s">
        <v>1120</v>
      </c>
      <c r="I171" t="s">
        <v>1735</v>
      </c>
      <c r="J171" t="s">
        <v>1323</v>
      </c>
      <c r="K171" s="3">
        <v>1</v>
      </c>
      <c r="L171" s="4">
        <v>26.9</v>
      </c>
      <c r="O171" t="s">
        <v>2</v>
      </c>
      <c r="P171" t="s">
        <v>496</v>
      </c>
      <c r="Q171" s="2">
        <v>0</v>
      </c>
      <c r="R171" s="5">
        <v>26.9</v>
      </c>
      <c r="S171" s="5">
        <v>0</v>
      </c>
      <c r="T171" s="2">
        <v>27</v>
      </c>
      <c r="U171" t="s">
        <v>3</v>
      </c>
      <c r="V171" t="s">
        <v>90</v>
      </c>
      <c r="W171" s="5">
        <v>22.61</v>
      </c>
    </row>
    <row r="172" spans="1:23" ht="15" x14ac:dyDescent="0.2">
      <c r="A172" t="s">
        <v>1009</v>
      </c>
      <c r="B172" s="1">
        <f>45906</f>
        <v>45906</v>
      </c>
      <c r="C172" t="s">
        <v>0</v>
      </c>
      <c r="D172">
        <v>108108</v>
      </c>
      <c r="E172" s="2">
        <v>25004379</v>
      </c>
      <c r="F172" s="2">
        <v>1</v>
      </c>
      <c r="G172" t="s">
        <v>1349</v>
      </c>
      <c r="H172" t="s">
        <v>1031</v>
      </c>
      <c r="I172" t="s">
        <v>1736</v>
      </c>
      <c r="J172" t="s">
        <v>1323</v>
      </c>
      <c r="K172" s="3">
        <v>1</v>
      </c>
      <c r="L172" s="4">
        <v>21.9</v>
      </c>
      <c r="O172" t="s">
        <v>2</v>
      </c>
      <c r="P172" t="s">
        <v>497</v>
      </c>
      <c r="Q172" s="2">
        <v>0</v>
      </c>
      <c r="R172" s="5">
        <v>21.9</v>
      </c>
      <c r="S172" s="5">
        <v>0</v>
      </c>
      <c r="T172" s="2">
        <v>22</v>
      </c>
      <c r="U172" t="s">
        <v>3</v>
      </c>
      <c r="V172" t="s">
        <v>91</v>
      </c>
      <c r="W172" s="5">
        <v>38.479999999999997</v>
      </c>
    </row>
    <row r="173" spans="1:23" ht="15" x14ac:dyDescent="0.2">
      <c r="A173" t="s">
        <v>1009</v>
      </c>
      <c r="B173" s="1">
        <f>45906</f>
        <v>45906</v>
      </c>
      <c r="C173" t="s">
        <v>0</v>
      </c>
      <c r="D173">
        <v>108108</v>
      </c>
      <c r="E173" s="2">
        <v>25004379</v>
      </c>
      <c r="F173" s="2">
        <v>2</v>
      </c>
      <c r="G173" t="s">
        <v>1336</v>
      </c>
      <c r="H173" t="s">
        <v>1018</v>
      </c>
      <c r="I173" t="s">
        <v>1736</v>
      </c>
      <c r="J173" t="s">
        <v>1323</v>
      </c>
      <c r="K173" s="3">
        <v>1</v>
      </c>
      <c r="L173" s="4">
        <v>23.9</v>
      </c>
      <c r="O173" t="s">
        <v>2</v>
      </c>
      <c r="P173" t="s">
        <v>497</v>
      </c>
      <c r="Q173" s="2">
        <v>0</v>
      </c>
      <c r="R173" s="5">
        <v>23.9</v>
      </c>
      <c r="S173" s="5">
        <v>0</v>
      </c>
      <c r="T173" s="2">
        <v>24</v>
      </c>
      <c r="U173" t="s">
        <v>3</v>
      </c>
      <c r="V173" t="s">
        <v>91</v>
      </c>
      <c r="W173" s="5">
        <v>38.479999999999997</v>
      </c>
    </row>
    <row r="174" spans="1:23" ht="15" x14ac:dyDescent="0.2">
      <c r="A174" t="s">
        <v>1009</v>
      </c>
      <c r="B174" s="1">
        <f>45906</f>
        <v>45906</v>
      </c>
      <c r="C174" t="s">
        <v>0</v>
      </c>
      <c r="D174">
        <v>108108</v>
      </c>
      <c r="E174" s="2">
        <v>25004380</v>
      </c>
      <c r="F174" s="2">
        <v>1</v>
      </c>
      <c r="G174" t="s">
        <v>1334</v>
      </c>
      <c r="H174" t="s">
        <v>1016</v>
      </c>
      <c r="I174" t="s">
        <v>1737</v>
      </c>
      <c r="J174" t="s">
        <v>1323</v>
      </c>
      <c r="K174" s="3">
        <v>8</v>
      </c>
      <c r="L174" s="4">
        <v>157.69999999999999</v>
      </c>
      <c r="O174" t="s">
        <v>2</v>
      </c>
      <c r="P174" t="s">
        <v>498</v>
      </c>
      <c r="Q174" s="2">
        <v>10</v>
      </c>
      <c r="R174" s="5">
        <v>21.9</v>
      </c>
      <c r="S174" s="5">
        <v>17.5</v>
      </c>
      <c r="T174" s="2">
        <v>20</v>
      </c>
      <c r="U174" t="s">
        <v>3</v>
      </c>
      <c r="V174" t="s">
        <v>92</v>
      </c>
      <c r="W174" s="5">
        <v>162.77000000000001</v>
      </c>
    </row>
    <row r="175" spans="1:23" ht="15" x14ac:dyDescent="0.2">
      <c r="A175" t="s">
        <v>1009</v>
      </c>
      <c r="B175" s="1">
        <f>45906</f>
        <v>45906</v>
      </c>
      <c r="C175" t="s">
        <v>0</v>
      </c>
      <c r="D175">
        <v>108108</v>
      </c>
      <c r="E175" s="2">
        <v>25004380</v>
      </c>
      <c r="F175" s="2">
        <v>2</v>
      </c>
      <c r="G175" t="s">
        <v>1332</v>
      </c>
      <c r="H175" t="s">
        <v>362</v>
      </c>
      <c r="I175" t="s">
        <v>1737</v>
      </c>
      <c r="J175" t="s">
        <v>1323</v>
      </c>
      <c r="K175" s="3">
        <v>8</v>
      </c>
      <c r="L175" s="4">
        <v>36</v>
      </c>
      <c r="O175" t="s">
        <v>2</v>
      </c>
      <c r="P175" t="s">
        <v>498</v>
      </c>
      <c r="Q175" s="2">
        <v>10</v>
      </c>
      <c r="R175" s="5">
        <v>5</v>
      </c>
      <c r="S175" s="5">
        <v>4</v>
      </c>
      <c r="T175" s="2">
        <v>5</v>
      </c>
      <c r="U175" t="s">
        <v>3</v>
      </c>
      <c r="V175" t="s">
        <v>92</v>
      </c>
      <c r="W175" s="5">
        <v>162.77000000000001</v>
      </c>
    </row>
    <row r="176" spans="1:23" ht="15" x14ac:dyDescent="0.2">
      <c r="A176" t="s">
        <v>1009</v>
      </c>
      <c r="B176" s="1">
        <f>45906</f>
        <v>45906</v>
      </c>
      <c r="C176" t="s">
        <v>0</v>
      </c>
      <c r="D176">
        <v>108108</v>
      </c>
      <c r="E176" s="2">
        <v>25004381</v>
      </c>
      <c r="F176" s="2">
        <v>1</v>
      </c>
      <c r="G176" t="s">
        <v>1369</v>
      </c>
      <c r="H176" t="s">
        <v>1051</v>
      </c>
      <c r="I176" t="s">
        <v>1647</v>
      </c>
      <c r="J176" t="s">
        <v>1323</v>
      </c>
      <c r="K176" s="3">
        <v>1</v>
      </c>
      <c r="L176" s="4">
        <v>9.9</v>
      </c>
      <c r="O176" t="s">
        <v>2</v>
      </c>
      <c r="P176" t="s">
        <v>499</v>
      </c>
      <c r="Q176" s="2">
        <v>0</v>
      </c>
      <c r="R176" s="5">
        <v>9.9</v>
      </c>
      <c r="S176" s="5">
        <v>0</v>
      </c>
      <c r="T176" s="2">
        <v>10</v>
      </c>
      <c r="U176" t="s">
        <v>3</v>
      </c>
      <c r="V176" t="s">
        <v>1322</v>
      </c>
      <c r="W176" s="5">
        <v>8.32</v>
      </c>
    </row>
    <row r="177" spans="1:23" ht="15" x14ac:dyDescent="0.2">
      <c r="A177" t="s">
        <v>1009</v>
      </c>
      <c r="B177" s="1">
        <f>45906</f>
        <v>45906</v>
      </c>
      <c r="C177" t="s">
        <v>0</v>
      </c>
      <c r="D177">
        <v>108108</v>
      </c>
      <c r="E177" s="2">
        <v>25004382</v>
      </c>
      <c r="F177" s="2">
        <v>1</v>
      </c>
      <c r="G177" t="s">
        <v>1439</v>
      </c>
      <c r="H177" t="s">
        <v>1121</v>
      </c>
      <c r="I177" t="s">
        <v>1738</v>
      </c>
      <c r="J177" t="s">
        <v>1323</v>
      </c>
      <c r="K177" s="3">
        <v>1</v>
      </c>
      <c r="L177" s="4">
        <v>21.9</v>
      </c>
      <c r="O177" t="s">
        <v>2</v>
      </c>
      <c r="P177" t="s">
        <v>500</v>
      </c>
      <c r="Q177" s="2">
        <v>0</v>
      </c>
      <c r="R177" s="5">
        <v>21.9</v>
      </c>
      <c r="S177" s="5">
        <v>0</v>
      </c>
      <c r="T177" s="2">
        <v>22</v>
      </c>
      <c r="U177" t="s">
        <v>3</v>
      </c>
      <c r="V177" t="s">
        <v>93</v>
      </c>
      <c r="W177" s="5">
        <v>18.399999999999999</v>
      </c>
    </row>
    <row r="178" spans="1:23" ht="15" x14ac:dyDescent="0.2">
      <c r="A178" t="s">
        <v>1009</v>
      </c>
      <c r="B178" s="1">
        <f>45906</f>
        <v>45906</v>
      </c>
      <c r="C178" t="s">
        <v>0</v>
      </c>
      <c r="D178">
        <v>108108</v>
      </c>
      <c r="E178" s="2">
        <v>25004383</v>
      </c>
      <c r="F178" s="2">
        <v>1</v>
      </c>
      <c r="G178" t="s">
        <v>1439</v>
      </c>
      <c r="H178" t="s">
        <v>1121</v>
      </c>
      <c r="I178" t="s">
        <v>1739</v>
      </c>
      <c r="J178" t="s">
        <v>1323</v>
      </c>
      <c r="K178" s="3">
        <v>1</v>
      </c>
      <c r="L178" s="4">
        <v>21.9</v>
      </c>
      <c r="O178" t="s">
        <v>2</v>
      </c>
      <c r="P178" t="s">
        <v>501</v>
      </c>
      <c r="Q178" s="2">
        <v>0</v>
      </c>
      <c r="R178" s="5">
        <v>21.9</v>
      </c>
      <c r="S178" s="5">
        <v>0</v>
      </c>
      <c r="T178" s="2">
        <v>22</v>
      </c>
      <c r="U178" t="s">
        <v>3</v>
      </c>
      <c r="V178" t="s">
        <v>94</v>
      </c>
      <c r="W178" s="5">
        <v>22.6</v>
      </c>
    </row>
    <row r="179" spans="1:23" ht="15" x14ac:dyDescent="0.2">
      <c r="A179" t="s">
        <v>1009</v>
      </c>
      <c r="B179" s="1">
        <f>45906</f>
        <v>45906</v>
      </c>
      <c r="C179" t="s">
        <v>0</v>
      </c>
      <c r="D179">
        <v>108108</v>
      </c>
      <c r="E179" s="2">
        <v>25004383</v>
      </c>
      <c r="F179" s="2">
        <v>2</v>
      </c>
      <c r="G179" t="s">
        <v>1332</v>
      </c>
      <c r="H179" t="s">
        <v>362</v>
      </c>
      <c r="I179" t="s">
        <v>1739</v>
      </c>
      <c r="J179" t="s">
        <v>1323</v>
      </c>
      <c r="K179" s="3">
        <v>1</v>
      </c>
      <c r="L179" s="4">
        <v>5</v>
      </c>
      <c r="O179" t="s">
        <v>2</v>
      </c>
      <c r="P179" t="s">
        <v>501</v>
      </c>
      <c r="Q179" s="2">
        <v>0</v>
      </c>
      <c r="R179" s="5">
        <v>5</v>
      </c>
      <c r="S179" s="5">
        <v>0</v>
      </c>
      <c r="T179" s="2">
        <v>5</v>
      </c>
      <c r="U179" t="s">
        <v>3</v>
      </c>
      <c r="V179" t="s">
        <v>94</v>
      </c>
      <c r="W179" s="5">
        <v>22.6</v>
      </c>
    </row>
    <row r="180" spans="1:23" ht="15" x14ac:dyDescent="0.2">
      <c r="A180" t="s">
        <v>1009</v>
      </c>
      <c r="B180" s="1">
        <f>45906</f>
        <v>45906</v>
      </c>
      <c r="C180" t="s">
        <v>0</v>
      </c>
      <c r="D180">
        <v>108108</v>
      </c>
      <c r="E180" s="2">
        <v>25004384</v>
      </c>
      <c r="F180" s="2">
        <v>1</v>
      </c>
      <c r="G180" t="s">
        <v>1347</v>
      </c>
      <c r="H180" t="s">
        <v>1029</v>
      </c>
      <c r="I180" t="s">
        <v>1720</v>
      </c>
      <c r="J180" t="s">
        <v>1323</v>
      </c>
      <c r="K180" s="3">
        <v>1</v>
      </c>
      <c r="L180" s="4">
        <v>29.9</v>
      </c>
      <c r="O180" t="s">
        <v>2</v>
      </c>
      <c r="P180" t="s">
        <v>502</v>
      </c>
      <c r="Q180" s="2">
        <v>0</v>
      </c>
      <c r="R180" s="5">
        <v>29.9</v>
      </c>
      <c r="S180" s="5">
        <v>0</v>
      </c>
      <c r="T180" s="2">
        <v>30</v>
      </c>
      <c r="U180" t="s">
        <v>3</v>
      </c>
      <c r="V180" t="s">
        <v>76</v>
      </c>
      <c r="W180" s="5">
        <v>25.13</v>
      </c>
    </row>
    <row r="181" spans="1:23" ht="15" x14ac:dyDescent="0.2">
      <c r="A181" t="s">
        <v>1009</v>
      </c>
      <c r="B181" s="1">
        <f>45906</f>
        <v>45906</v>
      </c>
      <c r="C181" t="s">
        <v>0</v>
      </c>
      <c r="D181">
        <v>108108</v>
      </c>
      <c r="E181" s="2">
        <v>25004385</v>
      </c>
      <c r="F181" s="2">
        <v>1</v>
      </c>
      <c r="G181" t="s">
        <v>1440</v>
      </c>
      <c r="H181" t="s">
        <v>1122</v>
      </c>
      <c r="I181" t="s">
        <v>1740</v>
      </c>
      <c r="J181" t="s">
        <v>1323</v>
      </c>
      <c r="K181" s="3">
        <v>1</v>
      </c>
      <c r="L181" s="4">
        <v>16.899999999999999</v>
      </c>
      <c r="O181" t="s">
        <v>2</v>
      </c>
      <c r="P181" t="s">
        <v>503</v>
      </c>
      <c r="Q181" s="2">
        <v>0</v>
      </c>
      <c r="R181" s="5">
        <v>16.899999999999999</v>
      </c>
      <c r="S181" s="5">
        <v>0</v>
      </c>
      <c r="T181" s="2">
        <v>17</v>
      </c>
      <c r="U181" t="s">
        <v>3</v>
      </c>
      <c r="V181" t="s">
        <v>95</v>
      </c>
      <c r="W181" s="5">
        <v>28.4</v>
      </c>
    </row>
    <row r="182" spans="1:23" ht="15" x14ac:dyDescent="0.2">
      <c r="A182" t="s">
        <v>1009</v>
      </c>
      <c r="B182" s="1">
        <f>45906</f>
        <v>45906</v>
      </c>
      <c r="C182" t="s">
        <v>0</v>
      </c>
      <c r="D182">
        <v>108108</v>
      </c>
      <c r="E182" s="2">
        <v>25004385</v>
      </c>
      <c r="F182" s="2">
        <v>2</v>
      </c>
      <c r="G182" t="s">
        <v>1441</v>
      </c>
      <c r="H182" t="s">
        <v>1123</v>
      </c>
      <c r="I182" t="s">
        <v>1740</v>
      </c>
      <c r="J182" t="s">
        <v>1323</v>
      </c>
      <c r="K182" s="3">
        <v>1</v>
      </c>
      <c r="L182" s="4">
        <v>16.899999999999999</v>
      </c>
      <c r="O182" t="s">
        <v>2</v>
      </c>
      <c r="P182" t="s">
        <v>503</v>
      </c>
      <c r="Q182" s="2">
        <v>0</v>
      </c>
      <c r="R182" s="5">
        <v>16.899999999999999</v>
      </c>
      <c r="S182" s="5">
        <v>0</v>
      </c>
      <c r="T182" s="2">
        <v>17</v>
      </c>
      <c r="U182" t="s">
        <v>3</v>
      </c>
      <c r="V182" t="s">
        <v>95</v>
      </c>
      <c r="W182" s="5">
        <v>28.4</v>
      </c>
    </row>
    <row r="183" spans="1:23" ht="15" x14ac:dyDescent="0.2">
      <c r="A183" t="s">
        <v>1009</v>
      </c>
      <c r="B183" s="1">
        <f>45906</f>
        <v>45906</v>
      </c>
      <c r="C183" t="s">
        <v>0</v>
      </c>
      <c r="D183">
        <v>108108</v>
      </c>
      <c r="E183" s="2">
        <v>25004386</v>
      </c>
      <c r="F183" s="2">
        <v>1</v>
      </c>
      <c r="G183" t="s">
        <v>1442</v>
      </c>
      <c r="H183" t="s">
        <v>1124</v>
      </c>
      <c r="I183" t="s">
        <v>1741</v>
      </c>
      <c r="J183" t="s">
        <v>1323</v>
      </c>
      <c r="K183" s="3">
        <v>1</v>
      </c>
      <c r="L183" s="4">
        <v>22.9</v>
      </c>
      <c r="O183" t="s">
        <v>2</v>
      </c>
      <c r="P183" t="s">
        <v>504</v>
      </c>
      <c r="Q183" s="2">
        <v>0</v>
      </c>
      <c r="R183" s="5">
        <v>22.9</v>
      </c>
      <c r="S183" s="5">
        <v>0</v>
      </c>
      <c r="T183" s="2">
        <v>23</v>
      </c>
      <c r="U183" t="s">
        <v>3</v>
      </c>
      <c r="V183" t="s">
        <v>96</v>
      </c>
      <c r="W183" s="5">
        <v>19.239999999999998</v>
      </c>
    </row>
    <row r="184" spans="1:23" ht="15" x14ac:dyDescent="0.2">
      <c r="A184" t="s">
        <v>1009</v>
      </c>
      <c r="B184" s="1">
        <f>45906</f>
        <v>45906</v>
      </c>
      <c r="C184" t="s">
        <v>0</v>
      </c>
      <c r="D184">
        <v>108108</v>
      </c>
      <c r="E184" s="2">
        <v>25004387</v>
      </c>
      <c r="F184" s="2">
        <v>1</v>
      </c>
      <c r="G184" t="s">
        <v>1342</v>
      </c>
      <c r="H184" t="s">
        <v>1024</v>
      </c>
      <c r="I184" t="s">
        <v>1742</v>
      </c>
      <c r="J184" t="s">
        <v>1323</v>
      </c>
      <c r="K184" s="3">
        <v>1</v>
      </c>
      <c r="L184" s="4">
        <v>21.9</v>
      </c>
      <c r="O184" t="s">
        <v>2</v>
      </c>
      <c r="P184" t="s">
        <v>505</v>
      </c>
      <c r="Q184" s="2">
        <v>0</v>
      </c>
      <c r="R184" s="5">
        <v>21.9</v>
      </c>
      <c r="S184" s="5">
        <v>0</v>
      </c>
      <c r="T184" s="2">
        <v>22</v>
      </c>
      <c r="U184" t="s">
        <v>3</v>
      </c>
      <c r="V184" t="s">
        <v>97</v>
      </c>
      <c r="W184" s="5">
        <v>18.399999999999999</v>
      </c>
    </row>
    <row r="185" spans="1:23" ht="15" x14ac:dyDescent="0.2">
      <c r="A185" t="s">
        <v>1009</v>
      </c>
      <c r="B185" s="1">
        <f>45906</f>
        <v>45906</v>
      </c>
      <c r="C185" t="s">
        <v>0</v>
      </c>
      <c r="D185">
        <v>108108</v>
      </c>
      <c r="E185" s="2">
        <v>25004388</v>
      </c>
      <c r="F185" s="2">
        <v>1</v>
      </c>
      <c r="G185" t="s">
        <v>1443</v>
      </c>
      <c r="H185" t="s">
        <v>1125</v>
      </c>
      <c r="I185" t="s">
        <v>1743</v>
      </c>
      <c r="J185" t="s">
        <v>1323</v>
      </c>
      <c r="K185" s="3">
        <v>1</v>
      </c>
      <c r="L185" s="4">
        <v>20.6</v>
      </c>
      <c r="O185" t="s">
        <v>2</v>
      </c>
      <c r="P185" t="s">
        <v>506</v>
      </c>
      <c r="Q185" s="2">
        <v>10</v>
      </c>
      <c r="R185" s="5">
        <v>22.9</v>
      </c>
      <c r="S185" s="5">
        <v>2.2999999999999998</v>
      </c>
      <c r="T185" s="2">
        <v>21</v>
      </c>
      <c r="U185" t="s">
        <v>3</v>
      </c>
      <c r="V185" t="s">
        <v>98</v>
      </c>
      <c r="W185" s="5">
        <v>21.09</v>
      </c>
    </row>
    <row r="186" spans="1:23" ht="15" x14ac:dyDescent="0.2">
      <c r="A186" t="s">
        <v>1009</v>
      </c>
      <c r="B186" s="1">
        <f>45906</f>
        <v>45906</v>
      </c>
      <c r="C186" t="s">
        <v>0</v>
      </c>
      <c r="D186">
        <v>108108</v>
      </c>
      <c r="E186" s="2">
        <v>25004388</v>
      </c>
      <c r="F186" s="2">
        <v>2</v>
      </c>
      <c r="G186" t="s">
        <v>1332</v>
      </c>
      <c r="H186" t="s">
        <v>362</v>
      </c>
      <c r="I186" t="s">
        <v>1743</v>
      </c>
      <c r="J186" t="s">
        <v>1323</v>
      </c>
      <c r="K186" s="3">
        <v>1</v>
      </c>
      <c r="L186" s="4">
        <v>4.5</v>
      </c>
      <c r="O186" t="s">
        <v>2</v>
      </c>
      <c r="P186" t="s">
        <v>506</v>
      </c>
      <c r="Q186" s="2">
        <v>10</v>
      </c>
      <c r="R186" s="5">
        <v>5</v>
      </c>
      <c r="S186" s="5">
        <v>0.5</v>
      </c>
      <c r="T186" s="2">
        <v>5</v>
      </c>
      <c r="U186" t="s">
        <v>3</v>
      </c>
      <c r="V186" t="s">
        <v>98</v>
      </c>
      <c r="W186" s="5">
        <v>21.09</v>
      </c>
    </row>
    <row r="187" spans="1:23" ht="15" x14ac:dyDescent="0.2">
      <c r="A187" t="s">
        <v>1009</v>
      </c>
      <c r="B187" s="1">
        <f>45906</f>
        <v>45906</v>
      </c>
      <c r="C187" t="s">
        <v>0</v>
      </c>
      <c r="D187">
        <v>108108</v>
      </c>
      <c r="E187" s="2">
        <v>25004389</v>
      </c>
      <c r="F187" s="2">
        <v>1</v>
      </c>
      <c r="G187" t="s">
        <v>1444</v>
      </c>
      <c r="H187" t="s">
        <v>1126</v>
      </c>
      <c r="I187" t="s">
        <v>1744</v>
      </c>
      <c r="J187" t="s">
        <v>1324</v>
      </c>
      <c r="K187" s="3">
        <v>1</v>
      </c>
      <c r="L187" s="4">
        <v>23.9</v>
      </c>
      <c r="O187" t="s">
        <v>2</v>
      </c>
      <c r="P187" t="s">
        <v>507</v>
      </c>
      <c r="Q187" s="2">
        <v>0</v>
      </c>
      <c r="R187" s="5">
        <v>23.9</v>
      </c>
      <c r="S187" s="5">
        <v>0</v>
      </c>
      <c r="T187" s="2">
        <v>24</v>
      </c>
      <c r="U187" t="s">
        <v>3</v>
      </c>
      <c r="V187" t="s">
        <v>99</v>
      </c>
      <c r="W187" s="5">
        <v>49.41</v>
      </c>
    </row>
    <row r="188" spans="1:23" ht="15" x14ac:dyDescent="0.2">
      <c r="A188" t="s">
        <v>1009</v>
      </c>
      <c r="B188" s="1">
        <f>45906</f>
        <v>45906</v>
      </c>
      <c r="C188" t="s">
        <v>0</v>
      </c>
      <c r="D188">
        <v>108108</v>
      </c>
      <c r="E188" s="2">
        <v>25004389</v>
      </c>
      <c r="F188" s="2">
        <v>2</v>
      </c>
      <c r="G188" t="s">
        <v>1347</v>
      </c>
      <c r="H188" t="s">
        <v>1029</v>
      </c>
      <c r="I188" t="s">
        <v>1744</v>
      </c>
      <c r="J188" t="s">
        <v>1324</v>
      </c>
      <c r="K188" s="3">
        <v>1</v>
      </c>
      <c r="L188" s="4">
        <v>29.9</v>
      </c>
      <c r="O188" t="s">
        <v>2</v>
      </c>
      <c r="P188" t="s">
        <v>507</v>
      </c>
      <c r="Q188" s="2">
        <v>0</v>
      </c>
      <c r="R188" s="5">
        <v>29.9</v>
      </c>
      <c r="S188" s="5">
        <v>0</v>
      </c>
      <c r="T188" s="2">
        <v>30</v>
      </c>
      <c r="U188" t="s">
        <v>3</v>
      </c>
      <c r="V188" t="s">
        <v>99</v>
      </c>
      <c r="W188" s="5">
        <v>49.41</v>
      </c>
    </row>
    <row r="189" spans="1:23" ht="15" x14ac:dyDescent="0.2">
      <c r="A189" t="s">
        <v>1009</v>
      </c>
      <c r="B189" s="1">
        <f>45906</f>
        <v>45906</v>
      </c>
      <c r="C189" t="s">
        <v>0</v>
      </c>
      <c r="D189">
        <v>108108</v>
      </c>
      <c r="E189" s="2">
        <v>25004389</v>
      </c>
      <c r="F189" s="2">
        <v>3</v>
      </c>
      <c r="G189" t="s">
        <v>1332</v>
      </c>
      <c r="H189" t="s">
        <v>362</v>
      </c>
      <c r="I189" t="s">
        <v>1744</v>
      </c>
      <c r="J189" t="s">
        <v>1324</v>
      </c>
      <c r="K189" s="3">
        <v>1</v>
      </c>
      <c r="L189" s="4">
        <v>5</v>
      </c>
      <c r="O189" t="s">
        <v>2</v>
      </c>
      <c r="P189" t="s">
        <v>507</v>
      </c>
      <c r="Q189" s="2">
        <v>0</v>
      </c>
      <c r="R189" s="5">
        <v>5</v>
      </c>
      <c r="S189" s="5">
        <v>0</v>
      </c>
      <c r="T189" s="2">
        <v>5</v>
      </c>
      <c r="U189" t="s">
        <v>3</v>
      </c>
      <c r="V189" t="s">
        <v>99</v>
      </c>
      <c r="W189" s="5">
        <v>49.41</v>
      </c>
    </row>
    <row r="190" spans="1:23" ht="15" x14ac:dyDescent="0.2">
      <c r="A190" t="s">
        <v>1009</v>
      </c>
      <c r="B190" s="1">
        <f>45906</f>
        <v>45906</v>
      </c>
      <c r="C190" t="s">
        <v>0</v>
      </c>
      <c r="D190">
        <v>108108</v>
      </c>
      <c r="E190" s="2">
        <v>25004390</v>
      </c>
      <c r="F190" s="2">
        <v>1</v>
      </c>
      <c r="G190" t="s">
        <v>1445</v>
      </c>
      <c r="H190" t="s">
        <v>1127</v>
      </c>
      <c r="I190" t="s">
        <v>1745</v>
      </c>
      <c r="J190" t="s">
        <v>1324</v>
      </c>
      <c r="K190" s="3">
        <v>1</v>
      </c>
      <c r="L190" s="4">
        <v>26.9</v>
      </c>
      <c r="O190" t="s">
        <v>2</v>
      </c>
      <c r="P190" t="s">
        <v>508</v>
      </c>
      <c r="Q190" s="2">
        <v>0</v>
      </c>
      <c r="R190" s="5">
        <v>26.9</v>
      </c>
      <c r="S190" s="5">
        <v>0</v>
      </c>
      <c r="T190" s="2">
        <v>27</v>
      </c>
      <c r="U190" t="s">
        <v>3</v>
      </c>
      <c r="V190" t="s">
        <v>100</v>
      </c>
      <c r="W190" s="5">
        <v>22.61</v>
      </c>
    </row>
    <row r="191" spans="1:23" ht="15" x14ac:dyDescent="0.2">
      <c r="A191" t="s">
        <v>1009</v>
      </c>
      <c r="B191" s="1">
        <f>45906</f>
        <v>45906</v>
      </c>
      <c r="C191" t="s">
        <v>0</v>
      </c>
      <c r="D191">
        <v>108108</v>
      </c>
      <c r="E191" s="2">
        <v>25004391</v>
      </c>
      <c r="F191" s="2">
        <v>1</v>
      </c>
      <c r="G191" t="s">
        <v>1446</v>
      </c>
      <c r="H191" t="s">
        <v>1128</v>
      </c>
      <c r="I191" t="s">
        <v>1746</v>
      </c>
      <c r="J191" t="s">
        <v>1324</v>
      </c>
      <c r="K191" s="3">
        <v>1</v>
      </c>
      <c r="L191" s="4">
        <v>23.9</v>
      </c>
      <c r="O191" t="s">
        <v>2</v>
      </c>
      <c r="P191" t="s">
        <v>509</v>
      </c>
      <c r="Q191" s="2">
        <v>0</v>
      </c>
      <c r="R191" s="5">
        <v>23.9</v>
      </c>
      <c r="S191" s="5">
        <v>0</v>
      </c>
      <c r="T191" s="2">
        <v>24</v>
      </c>
      <c r="U191" t="s">
        <v>3</v>
      </c>
      <c r="V191" t="s">
        <v>101</v>
      </c>
      <c r="W191" s="5">
        <v>20.079999999999998</v>
      </c>
    </row>
    <row r="192" spans="1:23" ht="15" x14ac:dyDescent="0.2">
      <c r="A192" t="s">
        <v>1009</v>
      </c>
      <c r="B192" s="1">
        <f>45906</f>
        <v>45906</v>
      </c>
      <c r="C192" t="s">
        <v>0</v>
      </c>
      <c r="D192">
        <v>108108</v>
      </c>
      <c r="E192" s="2">
        <v>25004392</v>
      </c>
      <c r="F192" s="2">
        <v>1</v>
      </c>
      <c r="G192" t="s">
        <v>1351</v>
      </c>
      <c r="H192" t="s">
        <v>1033</v>
      </c>
      <c r="I192" t="s">
        <v>1745</v>
      </c>
      <c r="J192" t="s">
        <v>1324</v>
      </c>
      <c r="K192" s="3">
        <v>1</v>
      </c>
      <c r="L192" s="4">
        <v>21.9</v>
      </c>
      <c r="O192" t="s">
        <v>2</v>
      </c>
      <c r="P192" t="s">
        <v>510</v>
      </c>
      <c r="Q192" s="2">
        <v>0</v>
      </c>
      <c r="R192" s="5">
        <v>21.9</v>
      </c>
      <c r="S192" s="5">
        <v>0</v>
      </c>
      <c r="T192" s="2">
        <v>22</v>
      </c>
      <c r="U192" t="s">
        <v>3</v>
      </c>
      <c r="V192" t="s">
        <v>100</v>
      </c>
      <c r="W192" s="5">
        <v>26.72</v>
      </c>
    </row>
    <row r="193" spans="1:23" ht="15" x14ac:dyDescent="0.2">
      <c r="A193" t="s">
        <v>1009</v>
      </c>
      <c r="B193" s="1">
        <f>45906</f>
        <v>45906</v>
      </c>
      <c r="C193" t="s">
        <v>0</v>
      </c>
      <c r="D193">
        <v>108108</v>
      </c>
      <c r="E193" s="2">
        <v>25004392</v>
      </c>
      <c r="F193" s="2">
        <v>2</v>
      </c>
      <c r="G193" t="s">
        <v>1352</v>
      </c>
      <c r="H193" t="s">
        <v>1034</v>
      </c>
      <c r="I193" t="s">
        <v>1745</v>
      </c>
      <c r="J193" t="s">
        <v>1324</v>
      </c>
      <c r="K193" s="3">
        <v>1</v>
      </c>
      <c r="L193" s="4">
        <v>9.9</v>
      </c>
      <c r="O193" t="s">
        <v>2</v>
      </c>
      <c r="P193" t="s">
        <v>510</v>
      </c>
      <c r="Q193" s="2">
        <v>0</v>
      </c>
      <c r="R193" s="5">
        <v>9.9</v>
      </c>
      <c r="S193" s="5">
        <v>0</v>
      </c>
      <c r="T193" s="2">
        <v>10</v>
      </c>
      <c r="U193" t="s">
        <v>3</v>
      </c>
      <c r="V193" t="s">
        <v>100</v>
      </c>
      <c r="W193" s="5">
        <v>26.72</v>
      </c>
    </row>
    <row r="194" spans="1:23" ht="15" x14ac:dyDescent="0.2">
      <c r="A194" t="s">
        <v>1009</v>
      </c>
      <c r="B194" s="1">
        <f>45906</f>
        <v>45906</v>
      </c>
      <c r="C194" t="s">
        <v>0</v>
      </c>
      <c r="D194">
        <v>108108</v>
      </c>
      <c r="E194" s="2">
        <v>25004393</v>
      </c>
      <c r="F194" s="2">
        <v>1</v>
      </c>
      <c r="G194" t="s">
        <v>1447</v>
      </c>
      <c r="H194" t="s">
        <v>1129</v>
      </c>
      <c r="I194" t="s">
        <v>1747</v>
      </c>
      <c r="J194" t="s">
        <v>1324</v>
      </c>
      <c r="K194" s="3">
        <v>1</v>
      </c>
      <c r="L194" s="4">
        <v>26.9</v>
      </c>
      <c r="O194" t="s">
        <v>2</v>
      </c>
      <c r="P194" t="s">
        <v>511</v>
      </c>
      <c r="Q194" s="2">
        <v>0</v>
      </c>
      <c r="R194" s="5">
        <v>26.9</v>
      </c>
      <c r="S194" s="5">
        <v>0</v>
      </c>
      <c r="T194" s="2">
        <v>27</v>
      </c>
      <c r="U194" t="s">
        <v>3</v>
      </c>
      <c r="V194" t="s">
        <v>102</v>
      </c>
      <c r="W194" s="5">
        <v>22.61</v>
      </c>
    </row>
    <row r="195" spans="1:23" ht="15" x14ac:dyDescent="0.2">
      <c r="A195" t="s">
        <v>1009</v>
      </c>
      <c r="B195" s="1">
        <f>45906</f>
        <v>45906</v>
      </c>
      <c r="C195" t="s">
        <v>0</v>
      </c>
      <c r="D195">
        <v>108108</v>
      </c>
      <c r="E195" s="2">
        <v>25004394</v>
      </c>
      <c r="F195" s="2">
        <v>1</v>
      </c>
      <c r="G195" t="s">
        <v>1408</v>
      </c>
      <c r="H195" t="s">
        <v>1090</v>
      </c>
      <c r="I195" t="s">
        <v>1647</v>
      </c>
      <c r="J195" t="s">
        <v>1324</v>
      </c>
      <c r="K195" s="3">
        <v>1</v>
      </c>
      <c r="L195" s="4">
        <v>22.9</v>
      </c>
      <c r="O195" t="s">
        <v>2</v>
      </c>
      <c r="P195" t="s">
        <v>512</v>
      </c>
      <c r="Q195" s="2">
        <v>0</v>
      </c>
      <c r="R195" s="5">
        <v>22.9</v>
      </c>
      <c r="S195" s="5">
        <v>0</v>
      </c>
      <c r="T195" s="2">
        <v>23</v>
      </c>
      <c r="U195" t="s">
        <v>3</v>
      </c>
      <c r="V195" t="s">
        <v>1322</v>
      </c>
      <c r="W195" s="5">
        <v>19.239999999999998</v>
      </c>
    </row>
    <row r="196" spans="1:23" ht="15" x14ac:dyDescent="0.2">
      <c r="A196" t="s">
        <v>1009</v>
      </c>
      <c r="B196" s="1">
        <f>45906</f>
        <v>45906</v>
      </c>
      <c r="C196" t="s">
        <v>0</v>
      </c>
      <c r="D196">
        <v>108108</v>
      </c>
      <c r="E196" s="2">
        <v>25004395</v>
      </c>
      <c r="F196" s="2">
        <v>1</v>
      </c>
      <c r="G196" t="s">
        <v>1335</v>
      </c>
      <c r="H196" t="s">
        <v>1017</v>
      </c>
      <c r="I196" t="s">
        <v>1647</v>
      </c>
      <c r="J196" t="s">
        <v>1324</v>
      </c>
      <c r="K196" s="3">
        <v>1</v>
      </c>
      <c r="L196" s="4">
        <v>26.9</v>
      </c>
      <c r="O196" t="s">
        <v>2</v>
      </c>
      <c r="P196" t="s">
        <v>513</v>
      </c>
      <c r="Q196" s="2">
        <v>0</v>
      </c>
      <c r="R196" s="5">
        <v>26.9</v>
      </c>
      <c r="S196" s="5">
        <v>0</v>
      </c>
      <c r="T196" s="2">
        <v>27</v>
      </c>
      <c r="U196" t="s">
        <v>3</v>
      </c>
      <c r="V196" t="s">
        <v>1322</v>
      </c>
      <c r="W196" s="5">
        <v>22.61</v>
      </c>
    </row>
    <row r="197" spans="1:23" ht="15" x14ac:dyDescent="0.2">
      <c r="A197" t="s">
        <v>1009</v>
      </c>
      <c r="B197" s="1">
        <f>45906</f>
        <v>45906</v>
      </c>
      <c r="C197" t="s">
        <v>0</v>
      </c>
      <c r="D197">
        <v>108108</v>
      </c>
      <c r="E197" s="2">
        <v>25004396</v>
      </c>
      <c r="F197" s="2">
        <v>1</v>
      </c>
      <c r="G197" t="s">
        <v>1448</v>
      </c>
      <c r="H197" t="s">
        <v>1130</v>
      </c>
      <c r="I197" t="s">
        <v>1647</v>
      </c>
      <c r="J197" t="s">
        <v>1324</v>
      </c>
      <c r="K197" s="3">
        <v>1</v>
      </c>
      <c r="L197" s="4">
        <v>6</v>
      </c>
      <c r="O197" t="s">
        <v>2</v>
      </c>
      <c r="P197" t="s">
        <v>514</v>
      </c>
      <c r="Q197" s="2">
        <v>50</v>
      </c>
      <c r="R197" s="5">
        <v>12</v>
      </c>
      <c r="S197" s="5">
        <v>6</v>
      </c>
      <c r="T197" s="2">
        <v>6</v>
      </c>
      <c r="U197" t="s">
        <v>3</v>
      </c>
      <c r="V197" t="s">
        <v>1322</v>
      </c>
      <c r="W197" s="5">
        <v>13.86</v>
      </c>
    </row>
    <row r="198" spans="1:23" ht="15" x14ac:dyDescent="0.2">
      <c r="A198" t="s">
        <v>1009</v>
      </c>
      <c r="B198" s="1">
        <f>45906</f>
        <v>45906</v>
      </c>
      <c r="C198" t="s">
        <v>0</v>
      </c>
      <c r="D198">
        <v>108108</v>
      </c>
      <c r="E198" s="2">
        <v>25004396</v>
      </c>
      <c r="F198" s="2">
        <v>2</v>
      </c>
      <c r="G198" t="s">
        <v>1449</v>
      </c>
      <c r="H198" t="s">
        <v>1131</v>
      </c>
      <c r="I198" t="s">
        <v>1647</v>
      </c>
      <c r="J198" t="s">
        <v>1324</v>
      </c>
      <c r="K198" s="3">
        <v>1</v>
      </c>
      <c r="L198" s="4">
        <v>10.5</v>
      </c>
      <c r="O198" t="s">
        <v>2</v>
      </c>
      <c r="P198" t="s">
        <v>514</v>
      </c>
      <c r="Q198" s="2">
        <v>0</v>
      </c>
      <c r="R198" s="5">
        <v>10.5</v>
      </c>
      <c r="S198" s="5">
        <v>0</v>
      </c>
      <c r="T198" s="2">
        <v>11</v>
      </c>
      <c r="U198" t="s">
        <v>3</v>
      </c>
      <c r="V198" t="s">
        <v>1322</v>
      </c>
      <c r="W198" s="5">
        <v>13.86</v>
      </c>
    </row>
    <row r="199" spans="1:23" ht="15" x14ac:dyDescent="0.2">
      <c r="A199" t="s">
        <v>1009</v>
      </c>
      <c r="B199" s="1">
        <f>45906</f>
        <v>45906</v>
      </c>
      <c r="C199" t="s">
        <v>0</v>
      </c>
      <c r="D199">
        <v>108108</v>
      </c>
      <c r="E199" s="2">
        <v>25004397</v>
      </c>
      <c r="F199" s="2">
        <v>1</v>
      </c>
      <c r="G199" t="s">
        <v>1327</v>
      </c>
      <c r="H199" t="s">
        <v>1010</v>
      </c>
      <c r="I199" t="s">
        <v>1647</v>
      </c>
      <c r="J199" t="s">
        <v>1324</v>
      </c>
      <c r="K199" s="3">
        <v>1</v>
      </c>
      <c r="L199" s="4">
        <v>29.9</v>
      </c>
      <c r="O199" t="s">
        <v>2</v>
      </c>
      <c r="P199" t="s">
        <v>515</v>
      </c>
      <c r="Q199" s="2">
        <v>0</v>
      </c>
      <c r="R199" s="5">
        <v>29.9</v>
      </c>
      <c r="S199" s="5">
        <v>0</v>
      </c>
      <c r="T199" s="2">
        <v>30</v>
      </c>
      <c r="U199" t="s">
        <v>3</v>
      </c>
      <c r="V199" t="s">
        <v>1322</v>
      </c>
      <c r="W199" s="5">
        <v>25.13</v>
      </c>
    </row>
    <row r="200" spans="1:23" ht="15" x14ac:dyDescent="0.2">
      <c r="A200" t="s">
        <v>1009</v>
      </c>
      <c r="B200" s="1">
        <f>45906</f>
        <v>45906</v>
      </c>
      <c r="C200" t="s">
        <v>0</v>
      </c>
      <c r="D200">
        <v>108108</v>
      </c>
      <c r="E200" s="2">
        <v>25004398</v>
      </c>
      <c r="F200" s="2">
        <v>1</v>
      </c>
      <c r="G200" t="s">
        <v>1393</v>
      </c>
      <c r="H200" t="s">
        <v>1075</v>
      </c>
      <c r="I200" t="s">
        <v>1748</v>
      </c>
      <c r="J200" t="s">
        <v>1324</v>
      </c>
      <c r="K200" s="3">
        <v>1</v>
      </c>
      <c r="L200" s="4">
        <v>33</v>
      </c>
      <c r="O200" t="s">
        <v>2</v>
      </c>
      <c r="P200" t="s">
        <v>516</v>
      </c>
      <c r="Q200" s="2">
        <v>0</v>
      </c>
      <c r="R200" s="5">
        <v>33</v>
      </c>
      <c r="S200" s="5">
        <v>0</v>
      </c>
      <c r="T200" s="2">
        <v>33</v>
      </c>
      <c r="U200" t="s">
        <v>3</v>
      </c>
      <c r="V200" t="s">
        <v>103</v>
      </c>
      <c r="W200" s="5">
        <v>27.73</v>
      </c>
    </row>
    <row r="201" spans="1:23" ht="15" x14ac:dyDescent="0.2">
      <c r="A201" t="s">
        <v>1009</v>
      </c>
      <c r="B201" s="1">
        <f>45906</f>
        <v>45906</v>
      </c>
      <c r="C201" t="s">
        <v>0</v>
      </c>
      <c r="D201">
        <v>108108</v>
      </c>
      <c r="E201" s="2">
        <v>25004399</v>
      </c>
      <c r="F201" s="2">
        <v>1</v>
      </c>
      <c r="G201" t="s">
        <v>1646</v>
      </c>
      <c r="H201" t="s">
        <v>361</v>
      </c>
      <c r="I201" t="s">
        <v>1647</v>
      </c>
      <c r="J201" t="s">
        <v>1324</v>
      </c>
      <c r="K201" s="3">
        <v>1</v>
      </c>
      <c r="L201" s="4">
        <v>-450</v>
      </c>
      <c r="Q201" s="2">
        <v>0</v>
      </c>
      <c r="R201" s="5">
        <v>-450</v>
      </c>
      <c r="S201" s="5">
        <v>0</v>
      </c>
      <c r="T201" s="2">
        <v>-450</v>
      </c>
      <c r="U201" t="s">
        <v>1</v>
      </c>
      <c r="V201" t="s">
        <v>361</v>
      </c>
      <c r="W201" s="5">
        <v>-450</v>
      </c>
    </row>
    <row r="202" spans="1:23" ht="15" x14ac:dyDescent="0.2">
      <c r="A202" t="s">
        <v>1009</v>
      </c>
      <c r="B202" s="1">
        <f>45908</f>
        <v>45908</v>
      </c>
      <c r="C202" t="s">
        <v>0</v>
      </c>
      <c r="D202">
        <v>108108</v>
      </c>
      <c r="E202" s="2">
        <v>25004400</v>
      </c>
      <c r="F202" s="2">
        <v>1</v>
      </c>
      <c r="G202" t="s">
        <v>1646</v>
      </c>
      <c r="H202" t="s">
        <v>361</v>
      </c>
      <c r="I202" t="s">
        <v>1647</v>
      </c>
      <c r="J202" t="s">
        <v>1326</v>
      </c>
      <c r="K202" s="3">
        <v>1</v>
      </c>
      <c r="L202" s="4">
        <v>450</v>
      </c>
      <c r="Q202" s="2">
        <v>0</v>
      </c>
      <c r="R202" s="5">
        <v>450</v>
      </c>
      <c r="S202" s="5">
        <v>0</v>
      </c>
      <c r="T202" s="2">
        <v>450</v>
      </c>
      <c r="U202" t="s">
        <v>1</v>
      </c>
      <c r="V202" t="s">
        <v>361</v>
      </c>
      <c r="W202" s="5">
        <v>450</v>
      </c>
    </row>
    <row r="203" spans="1:23" ht="15" x14ac:dyDescent="0.2">
      <c r="A203" t="s">
        <v>1009</v>
      </c>
      <c r="B203" s="1">
        <f>45908</f>
        <v>45908</v>
      </c>
      <c r="C203" t="s">
        <v>0</v>
      </c>
      <c r="D203">
        <v>108108</v>
      </c>
      <c r="E203" s="2">
        <v>25004401</v>
      </c>
      <c r="F203" s="2">
        <v>1</v>
      </c>
      <c r="G203" t="s">
        <v>1450</v>
      </c>
      <c r="H203" t="s">
        <v>1132</v>
      </c>
      <c r="I203" t="s">
        <v>1749</v>
      </c>
      <c r="J203" t="s">
        <v>1326</v>
      </c>
      <c r="K203" s="3">
        <v>1</v>
      </c>
      <c r="L203" s="4">
        <v>17.5</v>
      </c>
      <c r="O203" t="s">
        <v>2</v>
      </c>
      <c r="P203" t="s">
        <v>517</v>
      </c>
      <c r="Q203" s="2">
        <v>50</v>
      </c>
      <c r="R203" s="5">
        <v>35</v>
      </c>
      <c r="S203" s="5">
        <v>17.5</v>
      </c>
      <c r="T203" s="2">
        <v>18</v>
      </c>
      <c r="U203" t="s">
        <v>3</v>
      </c>
      <c r="V203" t="s">
        <v>44</v>
      </c>
      <c r="W203" s="5">
        <v>14.71</v>
      </c>
    </row>
    <row r="204" spans="1:23" ht="15" x14ac:dyDescent="0.2">
      <c r="A204" t="s">
        <v>1009</v>
      </c>
      <c r="B204" s="1">
        <f>45908</f>
        <v>45908</v>
      </c>
      <c r="C204" t="s">
        <v>0</v>
      </c>
      <c r="D204">
        <v>108108</v>
      </c>
      <c r="E204" s="2">
        <v>25004402</v>
      </c>
      <c r="F204" s="2">
        <v>1</v>
      </c>
      <c r="G204" t="s">
        <v>1439</v>
      </c>
      <c r="H204" t="s">
        <v>1121</v>
      </c>
      <c r="I204" t="s">
        <v>1647</v>
      </c>
      <c r="J204" t="s">
        <v>1326</v>
      </c>
      <c r="K204" s="3">
        <v>1</v>
      </c>
      <c r="L204" s="4">
        <v>21.9</v>
      </c>
      <c r="O204" t="s">
        <v>2</v>
      </c>
      <c r="P204" t="s">
        <v>518</v>
      </c>
      <c r="Q204" s="2">
        <v>0</v>
      </c>
      <c r="R204" s="5">
        <v>21.9</v>
      </c>
      <c r="S204" s="5">
        <v>0</v>
      </c>
      <c r="T204" s="2">
        <v>22</v>
      </c>
      <c r="U204" t="s">
        <v>3</v>
      </c>
      <c r="V204" t="s">
        <v>1322</v>
      </c>
      <c r="W204" s="5">
        <v>18.399999999999999</v>
      </c>
    </row>
    <row r="205" spans="1:23" ht="15" x14ac:dyDescent="0.2">
      <c r="A205" t="s">
        <v>1009</v>
      </c>
      <c r="B205" s="1">
        <f>45908</f>
        <v>45908</v>
      </c>
      <c r="C205" t="s">
        <v>0</v>
      </c>
      <c r="D205">
        <v>108108</v>
      </c>
      <c r="E205" s="2">
        <v>25004403</v>
      </c>
      <c r="F205" s="2">
        <v>1</v>
      </c>
      <c r="G205" t="s">
        <v>1412</v>
      </c>
      <c r="H205" t="s">
        <v>1094</v>
      </c>
      <c r="I205" t="s">
        <v>1750</v>
      </c>
      <c r="J205" t="s">
        <v>1326</v>
      </c>
      <c r="K205" s="3">
        <v>1</v>
      </c>
      <c r="L205" s="4">
        <v>26.9</v>
      </c>
      <c r="O205" t="s">
        <v>2</v>
      </c>
      <c r="P205" t="s">
        <v>519</v>
      </c>
      <c r="Q205" s="2">
        <v>0</v>
      </c>
      <c r="R205" s="5">
        <v>26.9</v>
      </c>
      <c r="S205" s="5">
        <v>0</v>
      </c>
      <c r="T205" s="2">
        <v>27</v>
      </c>
      <c r="U205" t="s">
        <v>3</v>
      </c>
      <c r="V205" t="s">
        <v>104</v>
      </c>
      <c r="W205" s="5">
        <v>47.74</v>
      </c>
    </row>
    <row r="206" spans="1:23" ht="15" x14ac:dyDescent="0.2">
      <c r="A206" t="s">
        <v>1009</v>
      </c>
      <c r="B206" s="1">
        <f>45908</f>
        <v>45908</v>
      </c>
      <c r="C206" t="s">
        <v>0</v>
      </c>
      <c r="D206">
        <v>108108</v>
      </c>
      <c r="E206" s="2">
        <v>25004403</v>
      </c>
      <c r="F206" s="2">
        <v>2</v>
      </c>
      <c r="G206" t="s">
        <v>1451</v>
      </c>
      <c r="H206" t="s">
        <v>1133</v>
      </c>
      <c r="I206" t="s">
        <v>1750</v>
      </c>
      <c r="J206" t="s">
        <v>1326</v>
      </c>
      <c r="K206" s="3">
        <v>1</v>
      </c>
      <c r="L206" s="4">
        <v>29.9</v>
      </c>
      <c r="O206" t="s">
        <v>2</v>
      </c>
      <c r="P206" t="s">
        <v>519</v>
      </c>
      <c r="Q206" s="2">
        <v>0</v>
      </c>
      <c r="R206" s="5">
        <v>29.9</v>
      </c>
      <c r="S206" s="5">
        <v>0</v>
      </c>
      <c r="T206" s="2">
        <v>30</v>
      </c>
      <c r="U206" t="s">
        <v>3</v>
      </c>
      <c r="V206" t="s">
        <v>104</v>
      </c>
      <c r="W206" s="5">
        <v>47.74</v>
      </c>
    </row>
    <row r="207" spans="1:23" ht="15" x14ac:dyDescent="0.2">
      <c r="A207" t="s">
        <v>1009</v>
      </c>
      <c r="B207" s="1">
        <f>45908</f>
        <v>45908</v>
      </c>
      <c r="C207" t="s">
        <v>0</v>
      </c>
      <c r="D207">
        <v>108108</v>
      </c>
      <c r="E207" s="2">
        <v>25004404</v>
      </c>
      <c r="F207" s="2">
        <v>1</v>
      </c>
      <c r="G207" t="s">
        <v>1403</v>
      </c>
      <c r="H207" t="s">
        <v>1085</v>
      </c>
      <c r="I207" t="s">
        <v>1751</v>
      </c>
      <c r="J207" t="s">
        <v>1326</v>
      </c>
      <c r="K207" s="3">
        <v>1</v>
      </c>
      <c r="L207" s="4">
        <v>16.43</v>
      </c>
      <c r="O207" t="s">
        <v>2</v>
      </c>
      <c r="P207" t="s">
        <v>520</v>
      </c>
      <c r="Q207" s="2">
        <v>25</v>
      </c>
      <c r="R207" s="5">
        <v>21.9</v>
      </c>
      <c r="S207" s="5">
        <v>5.47</v>
      </c>
      <c r="T207" s="2">
        <v>16</v>
      </c>
      <c r="U207" t="s">
        <v>3</v>
      </c>
      <c r="V207" t="s">
        <v>105</v>
      </c>
      <c r="W207" s="5">
        <v>13.81</v>
      </c>
    </row>
    <row r="208" spans="1:23" ht="15" x14ac:dyDescent="0.2">
      <c r="A208" t="s">
        <v>1009</v>
      </c>
      <c r="B208" s="1">
        <f>45908</f>
        <v>45908</v>
      </c>
      <c r="C208" t="s">
        <v>0</v>
      </c>
      <c r="D208">
        <v>108108</v>
      </c>
      <c r="E208" s="2">
        <v>25004405</v>
      </c>
      <c r="F208" s="2">
        <v>1</v>
      </c>
      <c r="G208" t="s">
        <v>1452</v>
      </c>
      <c r="H208" t="s">
        <v>1134</v>
      </c>
      <c r="I208" t="s">
        <v>1752</v>
      </c>
      <c r="J208" t="s">
        <v>1326</v>
      </c>
      <c r="K208" s="3">
        <v>1</v>
      </c>
      <c r="L208" s="4">
        <v>24.9</v>
      </c>
      <c r="O208" t="s">
        <v>2</v>
      </c>
      <c r="P208" t="s">
        <v>521</v>
      </c>
      <c r="Q208" s="2">
        <v>0</v>
      </c>
      <c r="R208" s="5">
        <v>24.9</v>
      </c>
      <c r="S208" s="5">
        <v>0</v>
      </c>
      <c r="T208" s="2">
        <v>25</v>
      </c>
      <c r="U208" t="s">
        <v>3</v>
      </c>
      <c r="V208" t="s">
        <v>106</v>
      </c>
      <c r="W208" s="5">
        <v>20.92</v>
      </c>
    </row>
    <row r="209" spans="1:23" ht="15" x14ac:dyDescent="0.2">
      <c r="A209" t="s">
        <v>1009</v>
      </c>
      <c r="B209" s="1">
        <f>45908</f>
        <v>45908</v>
      </c>
      <c r="C209" t="s">
        <v>0</v>
      </c>
      <c r="D209">
        <v>108108</v>
      </c>
      <c r="E209" s="2">
        <v>25004406</v>
      </c>
      <c r="F209" s="2">
        <v>1</v>
      </c>
      <c r="G209" t="s">
        <v>1453</v>
      </c>
      <c r="H209" t="s">
        <v>1135</v>
      </c>
      <c r="I209" t="s">
        <v>1647</v>
      </c>
      <c r="J209" t="s">
        <v>1326</v>
      </c>
      <c r="K209" s="3">
        <v>1</v>
      </c>
      <c r="L209" s="4">
        <v>45</v>
      </c>
      <c r="O209" t="s">
        <v>2</v>
      </c>
      <c r="P209" t="s">
        <v>522</v>
      </c>
      <c r="Q209" s="2">
        <v>0</v>
      </c>
      <c r="R209" s="5">
        <v>45</v>
      </c>
      <c r="S209" s="5">
        <v>0</v>
      </c>
      <c r="T209" s="2">
        <v>45</v>
      </c>
      <c r="U209" t="s">
        <v>3</v>
      </c>
      <c r="V209" t="s">
        <v>1322</v>
      </c>
      <c r="W209" s="5">
        <v>37.82</v>
      </c>
    </row>
    <row r="210" spans="1:23" ht="15" x14ac:dyDescent="0.2">
      <c r="A210" t="s">
        <v>1009</v>
      </c>
      <c r="B210" s="1">
        <f>45908</f>
        <v>45908</v>
      </c>
      <c r="C210" t="s">
        <v>0</v>
      </c>
      <c r="D210">
        <v>108108</v>
      </c>
      <c r="E210" s="2">
        <v>25004407</v>
      </c>
      <c r="F210" s="2">
        <v>1</v>
      </c>
      <c r="G210" t="s">
        <v>1454</v>
      </c>
      <c r="H210" t="s">
        <v>1136</v>
      </c>
      <c r="I210" t="s">
        <v>1753</v>
      </c>
      <c r="J210" t="s">
        <v>1326</v>
      </c>
      <c r="K210" s="3">
        <v>1</v>
      </c>
      <c r="L210" s="4">
        <v>17.899999999999999</v>
      </c>
      <c r="O210" t="s">
        <v>2</v>
      </c>
      <c r="P210" t="s">
        <v>523</v>
      </c>
      <c r="Q210" s="2">
        <v>0</v>
      </c>
      <c r="R210" s="5">
        <v>17.899999999999999</v>
      </c>
      <c r="S210" s="5">
        <v>0</v>
      </c>
      <c r="T210" s="2">
        <v>18</v>
      </c>
      <c r="U210" t="s">
        <v>3</v>
      </c>
      <c r="V210" t="s">
        <v>107</v>
      </c>
      <c r="W210" s="5">
        <v>15.04</v>
      </c>
    </row>
    <row r="211" spans="1:23" ht="15" x14ac:dyDescent="0.2">
      <c r="A211" t="s">
        <v>1009</v>
      </c>
      <c r="B211" s="1">
        <f>45908</f>
        <v>45908</v>
      </c>
      <c r="C211" t="s">
        <v>0</v>
      </c>
      <c r="D211">
        <v>108108</v>
      </c>
      <c r="E211" s="2">
        <v>25004408</v>
      </c>
      <c r="F211" s="2">
        <v>1</v>
      </c>
      <c r="G211" t="s">
        <v>1455</v>
      </c>
      <c r="H211" t="s">
        <v>1137</v>
      </c>
      <c r="I211" t="s">
        <v>1754</v>
      </c>
      <c r="J211" t="s">
        <v>1326</v>
      </c>
      <c r="K211" s="3">
        <v>1</v>
      </c>
      <c r="L211" s="4">
        <v>27.5</v>
      </c>
      <c r="O211" t="s">
        <v>2</v>
      </c>
      <c r="P211" t="s">
        <v>524</v>
      </c>
      <c r="Q211" s="2">
        <v>0</v>
      </c>
      <c r="R211" s="5">
        <v>27.5</v>
      </c>
      <c r="S211" s="5">
        <v>0</v>
      </c>
      <c r="T211" s="2">
        <v>28</v>
      </c>
      <c r="U211" t="s">
        <v>3</v>
      </c>
      <c r="V211" t="s">
        <v>108</v>
      </c>
      <c r="W211" s="5">
        <v>23.11</v>
      </c>
    </row>
    <row r="212" spans="1:23" ht="15" x14ac:dyDescent="0.2">
      <c r="A212" t="s">
        <v>1009</v>
      </c>
      <c r="B212" s="1">
        <f>45908</f>
        <v>45908</v>
      </c>
      <c r="C212" t="s">
        <v>0</v>
      </c>
      <c r="D212">
        <v>108108</v>
      </c>
      <c r="E212" s="2">
        <v>25004409</v>
      </c>
      <c r="F212" s="2">
        <v>1</v>
      </c>
      <c r="G212" t="s">
        <v>1345</v>
      </c>
      <c r="H212" t="s">
        <v>1027</v>
      </c>
      <c r="I212" t="s">
        <v>1755</v>
      </c>
      <c r="J212" t="s">
        <v>1326</v>
      </c>
      <c r="K212" s="3">
        <v>1</v>
      </c>
      <c r="L212" s="4">
        <v>27</v>
      </c>
      <c r="O212" t="s">
        <v>2</v>
      </c>
      <c r="P212" t="s">
        <v>525</v>
      </c>
      <c r="Q212" s="2">
        <v>0</v>
      </c>
      <c r="R212" s="5">
        <v>27</v>
      </c>
      <c r="S212" s="5">
        <v>0</v>
      </c>
      <c r="T212" s="2">
        <v>27</v>
      </c>
      <c r="U212" t="s">
        <v>3</v>
      </c>
      <c r="V212" t="s">
        <v>109</v>
      </c>
      <c r="W212" s="5">
        <v>28.74</v>
      </c>
    </row>
    <row r="213" spans="1:23" ht="15" x14ac:dyDescent="0.2">
      <c r="A213" t="s">
        <v>1009</v>
      </c>
      <c r="B213" s="1">
        <f>45908</f>
        <v>45908</v>
      </c>
      <c r="C213" t="s">
        <v>0</v>
      </c>
      <c r="D213">
        <v>108108</v>
      </c>
      <c r="E213" s="2">
        <v>25004409</v>
      </c>
      <c r="F213" s="2">
        <v>2</v>
      </c>
      <c r="G213" t="s">
        <v>1379</v>
      </c>
      <c r="H213" t="s">
        <v>1061</v>
      </c>
      <c r="I213" t="s">
        <v>1755</v>
      </c>
      <c r="J213" t="s">
        <v>1326</v>
      </c>
      <c r="K213" s="3">
        <v>1</v>
      </c>
      <c r="L213" s="4">
        <v>7.2</v>
      </c>
      <c r="O213" t="s">
        <v>2</v>
      </c>
      <c r="P213" t="s">
        <v>525</v>
      </c>
      <c r="Q213" s="2">
        <v>40</v>
      </c>
      <c r="R213" s="5">
        <v>12</v>
      </c>
      <c r="S213" s="5">
        <v>4.8</v>
      </c>
      <c r="T213" s="2">
        <v>7</v>
      </c>
      <c r="U213" t="s">
        <v>3</v>
      </c>
      <c r="V213" t="s">
        <v>109</v>
      </c>
      <c r="W213" s="5">
        <v>28.74</v>
      </c>
    </row>
    <row r="214" spans="1:23" ht="15" x14ac:dyDescent="0.2">
      <c r="A214" t="s">
        <v>1009</v>
      </c>
      <c r="B214" s="1">
        <f>45908</f>
        <v>45908</v>
      </c>
      <c r="C214" t="s">
        <v>0</v>
      </c>
      <c r="D214">
        <v>108108</v>
      </c>
      <c r="E214" s="2">
        <v>25004410</v>
      </c>
      <c r="F214" s="2">
        <v>1</v>
      </c>
      <c r="G214" t="s">
        <v>1456</v>
      </c>
      <c r="H214" t="s">
        <v>1138</v>
      </c>
      <c r="I214" t="s">
        <v>1756</v>
      </c>
      <c r="J214" t="s">
        <v>1326</v>
      </c>
      <c r="K214" s="3">
        <v>1</v>
      </c>
      <c r="L214" s="4">
        <v>24.9</v>
      </c>
      <c r="O214" t="s">
        <v>2</v>
      </c>
      <c r="P214" t="s">
        <v>526</v>
      </c>
      <c r="Q214" s="2">
        <v>0</v>
      </c>
      <c r="R214" s="5">
        <v>24.9</v>
      </c>
      <c r="S214" s="5">
        <v>0</v>
      </c>
      <c r="T214" s="2">
        <v>25</v>
      </c>
      <c r="U214" t="s">
        <v>3</v>
      </c>
      <c r="V214" t="s">
        <v>110</v>
      </c>
      <c r="W214" s="5">
        <v>20.92</v>
      </c>
    </row>
    <row r="215" spans="1:23" ht="15" x14ac:dyDescent="0.2">
      <c r="A215" t="s">
        <v>1009</v>
      </c>
      <c r="B215" s="1">
        <f>45908</f>
        <v>45908</v>
      </c>
      <c r="C215" t="s">
        <v>0</v>
      </c>
      <c r="D215">
        <v>108108</v>
      </c>
      <c r="E215" s="2">
        <v>25004411</v>
      </c>
      <c r="F215" s="2">
        <v>1</v>
      </c>
      <c r="G215" t="s">
        <v>1457</v>
      </c>
      <c r="H215" t="s">
        <v>1139</v>
      </c>
      <c r="I215" t="s">
        <v>1757</v>
      </c>
      <c r="J215" t="s">
        <v>1326</v>
      </c>
      <c r="K215" s="3">
        <v>1</v>
      </c>
      <c r="L215" s="4">
        <v>116</v>
      </c>
      <c r="O215" t="s">
        <v>2</v>
      </c>
      <c r="P215" t="s">
        <v>527</v>
      </c>
      <c r="Q215" s="2">
        <v>20</v>
      </c>
      <c r="R215" s="5">
        <v>145</v>
      </c>
      <c r="S215" s="5">
        <v>29</v>
      </c>
      <c r="T215" s="2">
        <v>116</v>
      </c>
      <c r="U215" t="s">
        <v>3</v>
      </c>
      <c r="V215" t="s">
        <v>111</v>
      </c>
      <c r="W215" s="5">
        <v>97.48</v>
      </c>
    </row>
    <row r="216" spans="1:23" ht="15" x14ac:dyDescent="0.2">
      <c r="A216" t="s">
        <v>1009</v>
      </c>
      <c r="B216" s="1">
        <f>45908</f>
        <v>45908</v>
      </c>
      <c r="C216" t="s">
        <v>0</v>
      </c>
      <c r="D216">
        <v>108108</v>
      </c>
      <c r="E216" s="2">
        <v>25004412</v>
      </c>
      <c r="F216" s="2">
        <v>1</v>
      </c>
      <c r="G216" t="s">
        <v>1458</v>
      </c>
      <c r="H216" t="s">
        <v>1140</v>
      </c>
      <c r="I216" t="s">
        <v>1647</v>
      </c>
      <c r="J216" t="s">
        <v>1326</v>
      </c>
      <c r="K216" s="3">
        <v>1</v>
      </c>
      <c r="L216" s="4">
        <v>27.9</v>
      </c>
      <c r="O216" t="s">
        <v>2</v>
      </c>
      <c r="P216" t="s">
        <v>528</v>
      </c>
      <c r="Q216" s="2">
        <v>0</v>
      </c>
      <c r="R216" s="5">
        <v>27.9</v>
      </c>
      <c r="S216" s="5">
        <v>0</v>
      </c>
      <c r="T216" s="2">
        <v>28</v>
      </c>
      <c r="U216" t="s">
        <v>3</v>
      </c>
      <c r="V216" t="s">
        <v>1322</v>
      </c>
      <c r="W216" s="5">
        <v>23.45</v>
      </c>
    </row>
    <row r="217" spans="1:23" ht="15" x14ac:dyDescent="0.2">
      <c r="A217" t="s">
        <v>1009</v>
      </c>
      <c r="B217" s="1">
        <f>45908</f>
        <v>45908</v>
      </c>
      <c r="C217" t="s">
        <v>0</v>
      </c>
      <c r="D217">
        <v>108108</v>
      </c>
      <c r="E217" s="2">
        <v>25004413</v>
      </c>
      <c r="F217" s="2">
        <v>1</v>
      </c>
      <c r="G217" t="s">
        <v>1408</v>
      </c>
      <c r="H217" t="s">
        <v>1090</v>
      </c>
      <c r="I217" t="s">
        <v>1647</v>
      </c>
      <c r="J217" t="s">
        <v>1324</v>
      </c>
      <c r="K217" s="3">
        <v>1</v>
      </c>
      <c r="L217" s="4">
        <v>22.9</v>
      </c>
      <c r="O217" t="s">
        <v>2</v>
      </c>
      <c r="P217" t="s">
        <v>529</v>
      </c>
      <c r="Q217" s="2">
        <v>0</v>
      </c>
      <c r="R217" s="5">
        <v>22.9</v>
      </c>
      <c r="S217" s="5">
        <v>0</v>
      </c>
      <c r="T217" s="2">
        <v>23</v>
      </c>
      <c r="U217" t="s">
        <v>3</v>
      </c>
      <c r="V217" t="s">
        <v>1322</v>
      </c>
      <c r="W217" s="5">
        <v>19.239999999999998</v>
      </c>
    </row>
    <row r="218" spans="1:23" ht="15" x14ac:dyDescent="0.2">
      <c r="A218" t="s">
        <v>1009</v>
      </c>
      <c r="B218" s="1">
        <f>45908</f>
        <v>45908</v>
      </c>
      <c r="C218" t="s">
        <v>0</v>
      </c>
      <c r="D218">
        <v>108108</v>
      </c>
      <c r="E218" s="2">
        <v>25004414</v>
      </c>
      <c r="F218" s="2">
        <v>1</v>
      </c>
      <c r="G218" t="s">
        <v>1354</v>
      </c>
      <c r="H218" t="s">
        <v>1036</v>
      </c>
      <c r="I218" t="s">
        <v>1758</v>
      </c>
      <c r="J218" t="s">
        <v>1324</v>
      </c>
      <c r="K218" s="3">
        <v>1</v>
      </c>
      <c r="L218" s="4">
        <v>24.9</v>
      </c>
      <c r="O218" t="s">
        <v>2</v>
      </c>
      <c r="P218" t="s">
        <v>530</v>
      </c>
      <c r="Q218" s="2">
        <v>0</v>
      </c>
      <c r="R218" s="5">
        <v>24.9</v>
      </c>
      <c r="S218" s="5">
        <v>0</v>
      </c>
      <c r="T218" s="2">
        <v>25</v>
      </c>
      <c r="U218" t="s">
        <v>3</v>
      </c>
      <c r="V218" t="s">
        <v>112</v>
      </c>
      <c r="W218" s="5">
        <v>20.92</v>
      </c>
    </row>
    <row r="219" spans="1:23" ht="15" x14ac:dyDescent="0.2">
      <c r="A219" t="s">
        <v>1009</v>
      </c>
      <c r="B219" s="1">
        <f>45908</f>
        <v>45908</v>
      </c>
      <c r="C219" t="s">
        <v>0</v>
      </c>
      <c r="D219">
        <v>108108</v>
      </c>
      <c r="E219" s="2">
        <v>25004415</v>
      </c>
      <c r="F219" s="2">
        <v>1</v>
      </c>
      <c r="G219" t="s">
        <v>1414</v>
      </c>
      <c r="H219" t="s">
        <v>1096</v>
      </c>
      <c r="I219" t="s">
        <v>1759</v>
      </c>
      <c r="J219" t="s">
        <v>1324</v>
      </c>
      <c r="K219" s="3">
        <v>1</v>
      </c>
      <c r="L219" s="4">
        <v>22.9</v>
      </c>
      <c r="O219" t="s">
        <v>2</v>
      </c>
      <c r="P219" t="s">
        <v>531</v>
      </c>
      <c r="Q219" s="2">
        <v>0</v>
      </c>
      <c r="R219" s="5">
        <v>22.9</v>
      </c>
      <c r="S219" s="5">
        <v>0</v>
      </c>
      <c r="T219" s="2">
        <v>23</v>
      </c>
      <c r="U219" t="s">
        <v>3</v>
      </c>
      <c r="V219" t="s">
        <v>113</v>
      </c>
      <c r="W219" s="5">
        <v>19.239999999999998</v>
      </c>
    </row>
    <row r="220" spans="1:23" ht="15" x14ac:dyDescent="0.2">
      <c r="A220" t="s">
        <v>1009</v>
      </c>
      <c r="B220" s="1">
        <f>45908</f>
        <v>45908</v>
      </c>
      <c r="C220" t="s">
        <v>0</v>
      </c>
      <c r="D220">
        <v>108108</v>
      </c>
      <c r="E220" s="2">
        <v>25004416</v>
      </c>
      <c r="F220" s="2">
        <v>1</v>
      </c>
      <c r="G220" t="s">
        <v>1459</v>
      </c>
      <c r="H220" t="s">
        <v>1141</v>
      </c>
      <c r="I220" t="s">
        <v>1760</v>
      </c>
      <c r="J220" t="s">
        <v>1324</v>
      </c>
      <c r="K220" s="3">
        <v>1</v>
      </c>
      <c r="L220" s="4">
        <v>110.4</v>
      </c>
      <c r="O220" t="s">
        <v>2</v>
      </c>
      <c r="P220" t="s">
        <v>532</v>
      </c>
      <c r="Q220" s="2">
        <v>20</v>
      </c>
      <c r="R220" s="5">
        <v>138</v>
      </c>
      <c r="S220" s="5">
        <v>27.6</v>
      </c>
      <c r="T220" s="2">
        <v>110</v>
      </c>
      <c r="U220" t="s">
        <v>3</v>
      </c>
      <c r="V220" t="s">
        <v>114</v>
      </c>
      <c r="W220" s="5">
        <v>92.77</v>
      </c>
    </row>
    <row r="221" spans="1:23" ht="15" x14ac:dyDescent="0.2">
      <c r="A221" t="s">
        <v>1009</v>
      </c>
      <c r="B221" s="1">
        <f>45908</f>
        <v>45908</v>
      </c>
      <c r="C221" t="s">
        <v>0</v>
      </c>
      <c r="D221">
        <v>108108</v>
      </c>
      <c r="E221" s="2">
        <v>25004417</v>
      </c>
      <c r="F221" s="2">
        <v>1</v>
      </c>
      <c r="G221" t="s">
        <v>1460</v>
      </c>
      <c r="H221" t="s">
        <v>1142</v>
      </c>
      <c r="I221" t="s">
        <v>1761</v>
      </c>
      <c r="J221" t="s">
        <v>1324</v>
      </c>
      <c r="K221" s="3">
        <v>1</v>
      </c>
      <c r="L221" s="4">
        <v>23.9</v>
      </c>
      <c r="O221" t="s">
        <v>2</v>
      </c>
      <c r="P221" t="s">
        <v>533</v>
      </c>
      <c r="Q221" s="2">
        <v>0</v>
      </c>
      <c r="R221" s="5">
        <v>23.9</v>
      </c>
      <c r="S221" s="5">
        <v>0</v>
      </c>
      <c r="T221" s="2">
        <v>24</v>
      </c>
      <c r="U221" t="s">
        <v>3</v>
      </c>
      <c r="V221" t="s">
        <v>115</v>
      </c>
      <c r="W221" s="5">
        <v>20.079999999999998</v>
      </c>
    </row>
    <row r="222" spans="1:23" ht="15" x14ac:dyDescent="0.2">
      <c r="A222" t="s">
        <v>1009</v>
      </c>
      <c r="B222" s="1">
        <f>45908</f>
        <v>45908</v>
      </c>
      <c r="C222" t="s">
        <v>0</v>
      </c>
      <c r="D222">
        <v>108108</v>
      </c>
      <c r="E222" s="2">
        <v>25004418</v>
      </c>
      <c r="F222" s="2">
        <v>1</v>
      </c>
      <c r="G222" t="s">
        <v>1447</v>
      </c>
      <c r="H222" t="s">
        <v>1129</v>
      </c>
      <c r="I222" t="s">
        <v>1762</v>
      </c>
      <c r="J222" t="s">
        <v>1324</v>
      </c>
      <c r="K222" s="3">
        <v>1</v>
      </c>
      <c r="L222" s="4">
        <v>26.9</v>
      </c>
      <c r="O222" t="s">
        <v>2</v>
      </c>
      <c r="P222" t="s">
        <v>534</v>
      </c>
      <c r="Q222" s="2">
        <v>0</v>
      </c>
      <c r="R222" s="5">
        <v>26.9</v>
      </c>
      <c r="S222" s="5">
        <v>0</v>
      </c>
      <c r="T222" s="2">
        <v>27</v>
      </c>
      <c r="U222" t="s">
        <v>3</v>
      </c>
      <c r="V222" t="s">
        <v>116</v>
      </c>
      <c r="W222" s="5">
        <v>22.61</v>
      </c>
    </row>
    <row r="223" spans="1:23" ht="15" x14ac:dyDescent="0.2">
      <c r="A223" t="s">
        <v>1009</v>
      </c>
      <c r="B223" s="1">
        <f>45908</f>
        <v>45908</v>
      </c>
      <c r="C223" t="s">
        <v>0</v>
      </c>
      <c r="D223">
        <v>108108</v>
      </c>
      <c r="E223" s="2">
        <v>25004419</v>
      </c>
      <c r="F223" s="2">
        <v>1</v>
      </c>
      <c r="G223" t="s">
        <v>1385</v>
      </c>
      <c r="H223" t="s">
        <v>1067</v>
      </c>
      <c r="I223" t="s">
        <v>1647</v>
      </c>
      <c r="J223" t="s">
        <v>1324</v>
      </c>
      <c r="K223" s="3">
        <v>1</v>
      </c>
      <c r="L223" s="4">
        <v>24</v>
      </c>
      <c r="O223" t="s">
        <v>2</v>
      </c>
      <c r="P223" t="s">
        <v>535</v>
      </c>
      <c r="Q223" s="2">
        <v>0</v>
      </c>
      <c r="R223" s="5">
        <v>24</v>
      </c>
      <c r="S223" s="5">
        <v>0</v>
      </c>
      <c r="T223" s="2">
        <v>24</v>
      </c>
      <c r="U223" t="s">
        <v>3</v>
      </c>
      <c r="V223" t="s">
        <v>1322</v>
      </c>
      <c r="W223" s="5">
        <v>20.170000000000002</v>
      </c>
    </row>
    <row r="224" spans="1:23" ht="15" x14ac:dyDescent="0.2">
      <c r="A224" t="s">
        <v>1009</v>
      </c>
      <c r="B224" s="1">
        <f>45908</f>
        <v>45908</v>
      </c>
      <c r="C224" t="s">
        <v>0</v>
      </c>
      <c r="D224">
        <v>108108</v>
      </c>
      <c r="E224" s="2">
        <v>25004420</v>
      </c>
      <c r="F224" s="2">
        <v>1</v>
      </c>
      <c r="G224" t="s">
        <v>1403</v>
      </c>
      <c r="H224" t="s">
        <v>1085</v>
      </c>
      <c r="I224" t="s">
        <v>1647</v>
      </c>
      <c r="J224" t="s">
        <v>1324</v>
      </c>
      <c r="K224" s="3">
        <v>1</v>
      </c>
      <c r="L224" s="4">
        <v>21.9</v>
      </c>
      <c r="O224" t="s">
        <v>2</v>
      </c>
      <c r="P224" t="s">
        <v>536</v>
      </c>
      <c r="Q224" s="2">
        <v>0</v>
      </c>
      <c r="R224" s="5">
        <v>21.9</v>
      </c>
      <c r="S224" s="5">
        <v>0</v>
      </c>
      <c r="T224" s="2">
        <v>22</v>
      </c>
      <c r="U224" t="s">
        <v>3</v>
      </c>
      <c r="V224" t="s">
        <v>1322</v>
      </c>
      <c r="W224" s="5">
        <v>22.6</v>
      </c>
    </row>
    <row r="225" spans="1:23" ht="15" x14ac:dyDescent="0.2">
      <c r="A225" t="s">
        <v>1009</v>
      </c>
      <c r="B225" s="1">
        <f>45908</f>
        <v>45908</v>
      </c>
      <c r="C225" t="s">
        <v>0</v>
      </c>
      <c r="D225">
        <v>108108</v>
      </c>
      <c r="E225" s="2">
        <v>25004420</v>
      </c>
      <c r="F225" s="2">
        <v>2</v>
      </c>
      <c r="G225" t="s">
        <v>1332</v>
      </c>
      <c r="H225" t="s">
        <v>362</v>
      </c>
      <c r="I225" t="s">
        <v>1647</v>
      </c>
      <c r="J225" t="s">
        <v>1324</v>
      </c>
      <c r="K225" s="3">
        <v>1</v>
      </c>
      <c r="L225" s="4">
        <v>5</v>
      </c>
      <c r="O225" t="s">
        <v>2</v>
      </c>
      <c r="P225" t="s">
        <v>536</v>
      </c>
      <c r="Q225" s="2">
        <v>0</v>
      </c>
      <c r="R225" s="5">
        <v>5</v>
      </c>
      <c r="S225" s="5">
        <v>0</v>
      </c>
      <c r="T225" s="2">
        <v>5</v>
      </c>
      <c r="U225" t="s">
        <v>3</v>
      </c>
      <c r="V225" t="s">
        <v>1322</v>
      </c>
      <c r="W225" s="5">
        <v>22.6</v>
      </c>
    </row>
    <row r="226" spans="1:23" ht="15" x14ac:dyDescent="0.2">
      <c r="A226" t="s">
        <v>1009</v>
      </c>
      <c r="B226" s="1">
        <f>45908</f>
        <v>45908</v>
      </c>
      <c r="C226" t="s">
        <v>0</v>
      </c>
      <c r="D226">
        <v>108108</v>
      </c>
      <c r="E226" s="2">
        <v>25004421</v>
      </c>
      <c r="F226" s="2">
        <v>1</v>
      </c>
      <c r="G226" t="s">
        <v>1434</v>
      </c>
      <c r="H226" t="s">
        <v>1116</v>
      </c>
      <c r="I226" t="s">
        <v>1763</v>
      </c>
      <c r="J226" t="s">
        <v>1324</v>
      </c>
      <c r="K226" s="3">
        <v>1</v>
      </c>
      <c r="L226" s="4">
        <v>22.9</v>
      </c>
      <c r="O226" t="s">
        <v>2</v>
      </c>
      <c r="P226" t="s">
        <v>537</v>
      </c>
      <c r="Q226" s="2">
        <v>0</v>
      </c>
      <c r="R226" s="5">
        <v>22.9</v>
      </c>
      <c r="S226" s="5">
        <v>0</v>
      </c>
      <c r="T226" s="2">
        <v>23</v>
      </c>
      <c r="U226" t="s">
        <v>3</v>
      </c>
      <c r="V226" t="s">
        <v>117</v>
      </c>
      <c r="W226" s="5">
        <v>28.86</v>
      </c>
    </row>
    <row r="227" spans="1:23" ht="15" x14ac:dyDescent="0.2">
      <c r="A227" t="s">
        <v>1009</v>
      </c>
      <c r="B227" s="1">
        <f>45908</f>
        <v>45908</v>
      </c>
      <c r="C227" t="s">
        <v>0</v>
      </c>
      <c r="D227">
        <v>108108</v>
      </c>
      <c r="E227" s="2">
        <v>25004421</v>
      </c>
      <c r="F227" s="2">
        <v>2</v>
      </c>
      <c r="G227" t="s">
        <v>1461</v>
      </c>
      <c r="H227" t="s">
        <v>1116</v>
      </c>
      <c r="I227" t="s">
        <v>1763</v>
      </c>
      <c r="J227" t="s">
        <v>1324</v>
      </c>
      <c r="K227" s="3">
        <v>1</v>
      </c>
      <c r="L227" s="4">
        <v>11.45</v>
      </c>
      <c r="O227" t="s">
        <v>2</v>
      </c>
      <c r="P227" t="s">
        <v>537</v>
      </c>
      <c r="Q227" s="2">
        <v>50</v>
      </c>
      <c r="R227" s="5">
        <v>22.9</v>
      </c>
      <c r="S227" s="5">
        <v>11.45</v>
      </c>
      <c r="T227" s="2">
        <v>11</v>
      </c>
      <c r="U227" t="s">
        <v>3</v>
      </c>
      <c r="V227" t="s">
        <v>117</v>
      </c>
      <c r="W227" s="5">
        <v>28.86</v>
      </c>
    </row>
    <row r="228" spans="1:23" ht="15" x14ac:dyDescent="0.2">
      <c r="A228" t="s">
        <v>1009</v>
      </c>
      <c r="B228" s="1">
        <f>45908</f>
        <v>45908</v>
      </c>
      <c r="C228" t="s">
        <v>0</v>
      </c>
      <c r="D228">
        <v>108108</v>
      </c>
      <c r="E228" s="2">
        <v>25004422</v>
      </c>
      <c r="F228" s="2">
        <v>1</v>
      </c>
      <c r="G228" t="s">
        <v>1341</v>
      </c>
      <c r="H228" t="s">
        <v>1023</v>
      </c>
      <c r="I228" t="s">
        <v>1647</v>
      </c>
      <c r="J228" t="s">
        <v>1324</v>
      </c>
      <c r="K228" s="3">
        <v>1</v>
      </c>
      <c r="L228" s="4">
        <v>24.9</v>
      </c>
      <c r="O228" t="s">
        <v>2</v>
      </c>
      <c r="P228" t="s">
        <v>538</v>
      </c>
      <c r="Q228" s="2">
        <v>0</v>
      </c>
      <c r="R228" s="5">
        <v>24.9</v>
      </c>
      <c r="S228" s="5">
        <v>0</v>
      </c>
      <c r="T228" s="2">
        <v>25</v>
      </c>
      <c r="U228" t="s">
        <v>3</v>
      </c>
      <c r="V228" t="s">
        <v>1322</v>
      </c>
      <c r="W228" s="5">
        <v>20.92</v>
      </c>
    </row>
    <row r="229" spans="1:23" ht="15" x14ac:dyDescent="0.2">
      <c r="A229" t="s">
        <v>1009</v>
      </c>
      <c r="B229" s="1">
        <f>45908</f>
        <v>45908</v>
      </c>
      <c r="C229" t="s">
        <v>0</v>
      </c>
      <c r="D229">
        <v>108108</v>
      </c>
      <c r="E229" s="2">
        <v>25004423</v>
      </c>
      <c r="F229" s="2">
        <v>1</v>
      </c>
      <c r="G229" t="s">
        <v>1646</v>
      </c>
      <c r="H229" t="s">
        <v>361</v>
      </c>
      <c r="I229" t="s">
        <v>1647</v>
      </c>
      <c r="J229" t="s">
        <v>1324</v>
      </c>
      <c r="K229" s="3">
        <v>1</v>
      </c>
      <c r="L229" s="4">
        <v>-450</v>
      </c>
      <c r="Q229" s="2">
        <v>0</v>
      </c>
      <c r="R229" s="5">
        <v>-450</v>
      </c>
      <c r="S229" s="5">
        <v>0</v>
      </c>
      <c r="T229" s="2">
        <v>-450</v>
      </c>
      <c r="U229" t="s">
        <v>1</v>
      </c>
      <c r="V229" t="s">
        <v>361</v>
      </c>
      <c r="W229" s="5">
        <v>-450</v>
      </c>
    </row>
    <row r="230" spans="1:23" ht="15" x14ac:dyDescent="0.2">
      <c r="A230" t="s">
        <v>1009</v>
      </c>
      <c r="B230" s="1">
        <f>45908</f>
        <v>45908</v>
      </c>
      <c r="C230" t="s">
        <v>0</v>
      </c>
      <c r="D230">
        <v>108108</v>
      </c>
      <c r="E230" s="2">
        <v>25004424</v>
      </c>
      <c r="F230" s="2">
        <v>1</v>
      </c>
      <c r="G230" t="s">
        <v>1646</v>
      </c>
      <c r="H230" t="s">
        <v>361</v>
      </c>
      <c r="I230" t="s">
        <v>1647</v>
      </c>
      <c r="J230" t="s">
        <v>1324</v>
      </c>
      <c r="K230" s="3">
        <v>1</v>
      </c>
      <c r="L230" s="4">
        <v>450</v>
      </c>
      <c r="Q230" s="2">
        <v>0</v>
      </c>
      <c r="R230" s="5">
        <v>450</v>
      </c>
      <c r="S230" s="5">
        <v>0</v>
      </c>
      <c r="T230" s="2">
        <v>450</v>
      </c>
      <c r="U230" t="s">
        <v>1</v>
      </c>
      <c r="V230" t="s">
        <v>361</v>
      </c>
      <c r="W230" s="5">
        <v>450</v>
      </c>
    </row>
    <row r="231" spans="1:23" ht="15" x14ac:dyDescent="0.2">
      <c r="A231" t="s">
        <v>1009</v>
      </c>
      <c r="B231" s="1">
        <f>45908</f>
        <v>45908</v>
      </c>
      <c r="C231" t="s">
        <v>0</v>
      </c>
      <c r="D231">
        <v>108108</v>
      </c>
      <c r="E231" s="2">
        <v>25004425</v>
      </c>
      <c r="F231" s="2">
        <v>1</v>
      </c>
      <c r="G231" t="s">
        <v>1646</v>
      </c>
      <c r="H231" t="s">
        <v>361</v>
      </c>
      <c r="I231" t="s">
        <v>1647</v>
      </c>
      <c r="J231" t="s">
        <v>1324</v>
      </c>
      <c r="K231" s="3">
        <v>1</v>
      </c>
      <c r="L231" s="4">
        <v>-450</v>
      </c>
      <c r="Q231" s="2">
        <v>0</v>
      </c>
      <c r="R231" s="5">
        <v>-450</v>
      </c>
      <c r="S231" s="5">
        <v>0</v>
      </c>
      <c r="T231" s="2">
        <v>-450</v>
      </c>
      <c r="U231" t="s">
        <v>1</v>
      </c>
      <c r="V231" t="s">
        <v>361</v>
      </c>
      <c r="W231" s="5">
        <v>-450</v>
      </c>
    </row>
    <row r="232" spans="1:23" ht="15" x14ac:dyDescent="0.2">
      <c r="A232" t="s">
        <v>1009</v>
      </c>
      <c r="B232" s="1">
        <f>45909</f>
        <v>45909</v>
      </c>
      <c r="C232" t="s">
        <v>0</v>
      </c>
      <c r="D232">
        <v>108108</v>
      </c>
      <c r="E232" s="2">
        <v>25004426</v>
      </c>
      <c r="F232" s="2">
        <v>1</v>
      </c>
      <c r="G232" t="s">
        <v>1646</v>
      </c>
      <c r="H232" t="s">
        <v>361</v>
      </c>
      <c r="I232" t="s">
        <v>1647</v>
      </c>
      <c r="J232" t="s">
        <v>1326</v>
      </c>
      <c r="K232" s="3">
        <v>1</v>
      </c>
      <c r="L232" s="4">
        <v>450</v>
      </c>
      <c r="Q232" s="2">
        <v>0</v>
      </c>
      <c r="R232" s="5">
        <v>450</v>
      </c>
      <c r="S232" s="5">
        <v>0</v>
      </c>
      <c r="T232" s="2">
        <v>450</v>
      </c>
      <c r="U232" t="s">
        <v>1</v>
      </c>
      <c r="V232" t="s">
        <v>361</v>
      </c>
      <c r="W232" s="5">
        <v>450</v>
      </c>
    </row>
    <row r="233" spans="1:23" ht="15" x14ac:dyDescent="0.2">
      <c r="A233" t="s">
        <v>1009</v>
      </c>
      <c r="B233" s="1">
        <f>45909</f>
        <v>45909</v>
      </c>
      <c r="C233" t="s">
        <v>0</v>
      </c>
      <c r="D233">
        <v>108108</v>
      </c>
      <c r="E233" s="2">
        <v>25004427</v>
      </c>
      <c r="F233" s="2">
        <v>1</v>
      </c>
      <c r="G233" t="s">
        <v>1462</v>
      </c>
      <c r="H233" t="s">
        <v>1143</v>
      </c>
      <c r="I233" t="s">
        <v>1764</v>
      </c>
      <c r="J233" t="s">
        <v>1324</v>
      </c>
      <c r="K233" s="3">
        <v>1</v>
      </c>
      <c r="L233" s="4">
        <v>156</v>
      </c>
      <c r="O233" t="s">
        <v>2</v>
      </c>
      <c r="P233" t="s">
        <v>539</v>
      </c>
      <c r="Q233" s="2">
        <v>20</v>
      </c>
      <c r="R233" s="5">
        <v>195</v>
      </c>
      <c r="S233" s="5">
        <v>39</v>
      </c>
      <c r="T233" s="2">
        <v>156</v>
      </c>
      <c r="U233" t="s">
        <v>3</v>
      </c>
      <c r="V233" t="s">
        <v>118</v>
      </c>
      <c r="W233" s="5">
        <v>161.87</v>
      </c>
    </row>
    <row r="234" spans="1:23" ht="15" x14ac:dyDescent="0.2">
      <c r="A234" t="s">
        <v>1009</v>
      </c>
      <c r="B234" s="1">
        <f>45909</f>
        <v>45909</v>
      </c>
      <c r="C234" t="s">
        <v>0</v>
      </c>
      <c r="D234">
        <v>108108</v>
      </c>
      <c r="E234" s="2">
        <v>25004427</v>
      </c>
      <c r="F234" s="2">
        <v>2</v>
      </c>
      <c r="G234" t="s">
        <v>1463</v>
      </c>
      <c r="H234" t="s">
        <v>1144</v>
      </c>
      <c r="I234" t="s">
        <v>1764</v>
      </c>
      <c r="J234" t="s">
        <v>1324</v>
      </c>
      <c r="K234" s="3">
        <v>1</v>
      </c>
      <c r="L234" s="4">
        <v>18.32</v>
      </c>
      <c r="O234" t="s">
        <v>2</v>
      </c>
      <c r="P234" t="s">
        <v>539</v>
      </c>
      <c r="Q234" s="2">
        <v>20</v>
      </c>
      <c r="R234" s="5">
        <v>22.9</v>
      </c>
      <c r="S234" s="5">
        <v>4.58</v>
      </c>
      <c r="T234" s="2">
        <v>18</v>
      </c>
      <c r="U234" t="s">
        <v>3</v>
      </c>
      <c r="V234" t="s">
        <v>118</v>
      </c>
      <c r="W234" s="5">
        <v>161.87</v>
      </c>
    </row>
    <row r="235" spans="1:23" ht="15" x14ac:dyDescent="0.2">
      <c r="A235" t="s">
        <v>1009</v>
      </c>
      <c r="B235" s="1">
        <f>45909</f>
        <v>45909</v>
      </c>
      <c r="C235" t="s">
        <v>0</v>
      </c>
      <c r="D235">
        <v>108108</v>
      </c>
      <c r="E235" s="2">
        <v>25004427</v>
      </c>
      <c r="F235" s="2">
        <v>3</v>
      </c>
      <c r="G235" t="s">
        <v>1383</v>
      </c>
      <c r="H235" t="s">
        <v>1065</v>
      </c>
      <c r="I235" t="s">
        <v>1764</v>
      </c>
      <c r="J235" t="s">
        <v>1324</v>
      </c>
      <c r="K235" s="3">
        <v>1</v>
      </c>
      <c r="L235" s="4">
        <v>18.32</v>
      </c>
      <c r="O235" t="s">
        <v>2</v>
      </c>
      <c r="P235" t="s">
        <v>539</v>
      </c>
      <c r="Q235" s="2">
        <v>20</v>
      </c>
      <c r="R235" s="5">
        <v>22.9</v>
      </c>
      <c r="S235" s="5">
        <v>4.58</v>
      </c>
      <c r="T235" s="2">
        <v>18</v>
      </c>
      <c r="U235" t="s">
        <v>3</v>
      </c>
      <c r="V235" t="s">
        <v>118</v>
      </c>
      <c r="W235" s="5">
        <v>161.87</v>
      </c>
    </row>
    <row r="236" spans="1:23" ht="15" x14ac:dyDescent="0.2">
      <c r="A236" t="s">
        <v>1009</v>
      </c>
      <c r="B236" s="1">
        <f>45909</f>
        <v>45909</v>
      </c>
      <c r="C236" t="s">
        <v>0</v>
      </c>
      <c r="D236">
        <v>108108</v>
      </c>
      <c r="E236" s="2">
        <v>25004428</v>
      </c>
      <c r="F236" s="2">
        <v>1</v>
      </c>
      <c r="G236" t="s">
        <v>1358</v>
      </c>
      <c r="H236" t="s">
        <v>1040</v>
      </c>
      <c r="I236" t="s">
        <v>1647</v>
      </c>
      <c r="J236" t="s">
        <v>1324</v>
      </c>
      <c r="K236" s="3">
        <v>1</v>
      </c>
      <c r="L236" s="4">
        <v>17.899999999999999</v>
      </c>
      <c r="O236" t="s">
        <v>2</v>
      </c>
      <c r="P236" t="s">
        <v>540</v>
      </c>
      <c r="Q236" s="2">
        <v>0</v>
      </c>
      <c r="R236" s="5">
        <v>17.899999999999999</v>
      </c>
      <c r="S236" s="5">
        <v>0</v>
      </c>
      <c r="T236" s="2">
        <v>18</v>
      </c>
      <c r="U236" t="s">
        <v>3</v>
      </c>
      <c r="V236" t="s">
        <v>1322</v>
      </c>
      <c r="W236" s="5">
        <v>37.65</v>
      </c>
    </row>
    <row r="237" spans="1:23" ht="15" x14ac:dyDescent="0.2">
      <c r="A237" t="s">
        <v>1009</v>
      </c>
      <c r="B237" s="1">
        <f>45909</f>
        <v>45909</v>
      </c>
      <c r="C237" t="s">
        <v>0</v>
      </c>
      <c r="D237">
        <v>108108</v>
      </c>
      <c r="E237" s="2">
        <v>25004428</v>
      </c>
      <c r="F237" s="2">
        <v>2</v>
      </c>
      <c r="G237" t="s">
        <v>1447</v>
      </c>
      <c r="H237" t="s">
        <v>1129</v>
      </c>
      <c r="I237" t="s">
        <v>1647</v>
      </c>
      <c r="J237" t="s">
        <v>1324</v>
      </c>
      <c r="K237" s="3">
        <v>1</v>
      </c>
      <c r="L237" s="4">
        <v>26.9</v>
      </c>
      <c r="O237" t="s">
        <v>2</v>
      </c>
      <c r="P237" t="s">
        <v>540</v>
      </c>
      <c r="Q237" s="2">
        <v>0</v>
      </c>
      <c r="R237" s="5">
        <v>26.9</v>
      </c>
      <c r="S237" s="5">
        <v>0</v>
      </c>
      <c r="T237" s="2">
        <v>27</v>
      </c>
      <c r="U237" t="s">
        <v>3</v>
      </c>
      <c r="V237" t="s">
        <v>1322</v>
      </c>
      <c r="W237" s="5">
        <v>37.65</v>
      </c>
    </row>
    <row r="238" spans="1:23" ht="15" x14ac:dyDescent="0.2">
      <c r="A238" t="s">
        <v>1009</v>
      </c>
      <c r="B238" s="1">
        <f>45909</f>
        <v>45909</v>
      </c>
      <c r="C238" t="s">
        <v>0</v>
      </c>
      <c r="D238">
        <v>108108</v>
      </c>
      <c r="E238" s="2">
        <v>25004429</v>
      </c>
      <c r="F238" s="2">
        <v>1</v>
      </c>
      <c r="G238" t="s">
        <v>1464</v>
      </c>
      <c r="H238" t="s">
        <v>1145</v>
      </c>
      <c r="I238" t="s">
        <v>1647</v>
      </c>
      <c r="J238" t="s">
        <v>1323</v>
      </c>
      <c r="K238" s="3">
        <v>1</v>
      </c>
      <c r="L238" s="4">
        <v>6</v>
      </c>
      <c r="O238" t="s">
        <v>2</v>
      </c>
      <c r="P238" t="s">
        <v>541</v>
      </c>
      <c r="Q238" s="2">
        <v>0</v>
      </c>
      <c r="R238" s="5">
        <v>6</v>
      </c>
      <c r="S238" s="5">
        <v>0</v>
      </c>
      <c r="T238" s="2">
        <v>6</v>
      </c>
      <c r="U238" t="s">
        <v>3</v>
      </c>
      <c r="V238" t="s">
        <v>1322</v>
      </c>
      <c r="W238" s="5">
        <v>5.04</v>
      </c>
    </row>
    <row r="239" spans="1:23" ht="15" x14ac:dyDescent="0.2">
      <c r="A239" t="s">
        <v>1009</v>
      </c>
      <c r="B239" s="1">
        <f>45909</f>
        <v>45909</v>
      </c>
      <c r="C239" t="s">
        <v>0</v>
      </c>
      <c r="D239">
        <v>108108</v>
      </c>
      <c r="E239" s="2">
        <v>25004430</v>
      </c>
      <c r="F239" s="2">
        <v>1</v>
      </c>
      <c r="G239" t="s">
        <v>1341</v>
      </c>
      <c r="H239" t="s">
        <v>1023</v>
      </c>
      <c r="I239" t="s">
        <v>1647</v>
      </c>
      <c r="J239" t="s">
        <v>1326</v>
      </c>
      <c r="K239" s="3">
        <v>1</v>
      </c>
      <c r="L239" s="4">
        <v>24.9</v>
      </c>
      <c r="O239" t="s">
        <v>2</v>
      </c>
      <c r="P239" t="s">
        <v>542</v>
      </c>
      <c r="Q239" s="2">
        <v>0</v>
      </c>
      <c r="R239" s="5">
        <v>24.9</v>
      </c>
      <c r="S239" s="5">
        <v>0</v>
      </c>
      <c r="T239" s="2">
        <v>25</v>
      </c>
      <c r="U239" t="s">
        <v>3</v>
      </c>
      <c r="V239" t="s">
        <v>1322</v>
      </c>
      <c r="W239" s="5">
        <v>20.92</v>
      </c>
    </row>
    <row r="240" spans="1:23" ht="15" x14ac:dyDescent="0.2">
      <c r="A240" t="s">
        <v>1009</v>
      </c>
      <c r="B240" s="1">
        <f>45909</f>
        <v>45909</v>
      </c>
      <c r="C240" t="s">
        <v>0</v>
      </c>
      <c r="D240">
        <v>108108</v>
      </c>
      <c r="E240" s="2">
        <v>25004431</v>
      </c>
      <c r="F240" s="2">
        <v>1</v>
      </c>
      <c r="G240" t="s">
        <v>1465</v>
      </c>
      <c r="H240" t="s">
        <v>1146</v>
      </c>
      <c r="I240" t="s">
        <v>1765</v>
      </c>
      <c r="J240" t="s">
        <v>1326</v>
      </c>
      <c r="K240" s="3">
        <v>1</v>
      </c>
      <c r="L240" s="4">
        <v>18.899999999999999</v>
      </c>
      <c r="O240" t="s">
        <v>2</v>
      </c>
      <c r="P240" t="s">
        <v>543</v>
      </c>
      <c r="Q240" s="2">
        <v>0</v>
      </c>
      <c r="R240" s="5">
        <v>18.899999999999999</v>
      </c>
      <c r="S240" s="5">
        <v>0</v>
      </c>
      <c r="T240" s="2">
        <v>19</v>
      </c>
      <c r="U240" t="s">
        <v>3</v>
      </c>
      <c r="V240" t="s">
        <v>119</v>
      </c>
      <c r="W240" s="5">
        <v>15.88</v>
      </c>
    </row>
    <row r="241" spans="1:23" ht="15" x14ac:dyDescent="0.2">
      <c r="A241" t="s">
        <v>1009</v>
      </c>
      <c r="B241" s="1">
        <f>45909</f>
        <v>45909</v>
      </c>
      <c r="C241" t="s">
        <v>0</v>
      </c>
      <c r="D241">
        <v>108108</v>
      </c>
      <c r="E241" s="2">
        <v>25004432</v>
      </c>
      <c r="F241" s="2">
        <v>1</v>
      </c>
      <c r="G241" t="s">
        <v>1466</v>
      </c>
      <c r="H241" t="s">
        <v>1147</v>
      </c>
      <c r="I241" t="s">
        <v>1766</v>
      </c>
      <c r="J241" t="s">
        <v>1326</v>
      </c>
      <c r="K241" s="3">
        <v>1</v>
      </c>
      <c r="L241" s="4">
        <v>28.7</v>
      </c>
      <c r="O241" t="s">
        <v>2</v>
      </c>
      <c r="P241" t="s">
        <v>544</v>
      </c>
      <c r="Q241" s="2">
        <v>10</v>
      </c>
      <c r="R241" s="5">
        <v>31.9</v>
      </c>
      <c r="S241" s="5">
        <v>3.2</v>
      </c>
      <c r="T241" s="2">
        <v>29</v>
      </c>
      <c r="U241" t="s">
        <v>3</v>
      </c>
      <c r="V241" t="s">
        <v>120</v>
      </c>
      <c r="W241" s="5">
        <v>29.41</v>
      </c>
    </row>
    <row r="242" spans="1:23" ht="15" x14ac:dyDescent="0.2">
      <c r="A242" t="s">
        <v>1009</v>
      </c>
      <c r="B242" s="1">
        <f>45909</f>
        <v>45909</v>
      </c>
      <c r="C242" t="s">
        <v>0</v>
      </c>
      <c r="D242">
        <v>108108</v>
      </c>
      <c r="E242" s="2">
        <v>25004432</v>
      </c>
      <c r="F242" s="2">
        <v>2</v>
      </c>
      <c r="G242" t="s">
        <v>1467</v>
      </c>
      <c r="H242" t="s">
        <v>1148</v>
      </c>
      <c r="I242" t="s">
        <v>1766</v>
      </c>
      <c r="J242" t="s">
        <v>1326</v>
      </c>
      <c r="K242" s="3">
        <v>1</v>
      </c>
      <c r="L242" s="4">
        <v>6.3</v>
      </c>
      <c r="O242" t="s">
        <v>2</v>
      </c>
      <c r="P242" t="s">
        <v>544</v>
      </c>
      <c r="Q242" s="2">
        <v>10</v>
      </c>
      <c r="R242" s="5">
        <v>7</v>
      </c>
      <c r="S242" s="5">
        <v>0.7</v>
      </c>
      <c r="T242" s="2">
        <v>6</v>
      </c>
      <c r="U242" t="s">
        <v>3</v>
      </c>
      <c r="V242" t="s">
        <v>120</v>
      </c>
      <c r="W242" s="5">
        <v>29.41</v>
      </c>
    </row>
    <row r="243" spans="1:23" ht="15" x14ac:dyDescent="0.2">
      <c r="A243" t="s">
        <v>1009</v>
      </c>
      <c r="B243" s="1">
        <f>45909</f>
        <v>45909</v>
      </c>
      <c r="C243" t="s">
        <v>0</v>
      </c>
      <c r="D243">
        <v>108108</v>
      </c>
      <c r="E243" s="2">
        <v>25004433</v>
      </c>
      <c r="F243" s="2">
        <v>1</v>
      </c>
      <c r="G243" t="s">
        <v>1335</v>
      </c>
      <c r="H243" t="s">
        <v>1017</v>
      </c>
      <c r="I243" t="s">
        <v>1767</v>
      </c>
      <c r="J243" t="s">
        <v>1323</v>
      </c>
      <c r="K243" s="3">
        <v>1</v>
      </c>
      <c r="L243" s="4">
        <v>26.9</v>
      </c>
      <c r="O243" t="s">
        <v>2</v>
      </c>
      <c r="P243" t="s">
        <v>545</v>
      </c>
      <c r="Q243" s="2">
        <v>0</v>
      </c>
      <c r="R243" s="5">
        <v>26.9</v>
      </c>
      <c r="S243" s="5">
        <v>0</v>
      </c>
      <c r="T243" s="2">
        <v>27</v>
      </c>
      <c r="U243" t="s">
        <v>3</v>
      </c>
      <c r="V243" t="s">
        <v>121</v>
      </c>
      <c r="W243" s="5">
        <v>22.61</v>
      </c>
    </row>
    <row r="244" spans="1:23" ht="15" x14ac:dyDescent="0.2">
      <c r="A244" t="s">
        <v>1009</v>
      </c>
      <c r="B244" s="1">
        <f>45909</f>
        <v>45909</v>
      </c>
      <c r="C244" t="s">
        <v>0</v>
      </c>
      <c r="D244">
        <v>108108</v>
      </c>
      <c r="E244" s="2">
        <v>25004434</v>
      </c>
      <c r="F244" s="2">
        <v>1</v>
      </c>
      <c r="G244" t="s">
        <v>1468</v>
      </c>
      <c r="H244" t="s">
        <v>1149</v>
      </c>
      <c r="I244" t="s">
        <v>1768</v>
      </c>
      <c r="J244" t="s">
        <v>1323</v>
      </c>
      <c r="K244" s="3">
        <v>1</v>
      </c>
      <c r="L244" s="4">
        <v>26.9</v>
      </c>
      <c r="O244" t="s">
        <v>2</v>
      </c>
      <c r="P244" t="s">
        <v>546</v>
      </c>
      <c r="Q244" s="2">
        <v>0</v>
      </c>
      <c r="R244" s="5">
        <v>26.9</v>
      </c>
      <c r="S244" s="5">
        <v>0</v>
      </c>
      <c r="T244" s="2">
        <v>27</v>
      </c>
      <c r="U244" t="s">
        <v>3</v>
      </c>
      <c r="V244" t="s">
        <v>122</v>
      </c>
      <c r="W244" s="5">
        <v>22.61</v>
      </c>
    </row>
    <row r="245" spans="1:23" ht="15" x14ac:dyDescent="0.2">
      <c r="A245" t="s">
        <v>1009</v>
      </c>
      <c r="B245" s="1">
        <f>45909</f>
        <v>45909</v>
      </c>
      <c r="C245" t="s">
        <v>0</v>
      </c>
      <c r="D245">
        <v>108108</v>
      </c>
      <c r="E245" s="2">
        <v>25004435</v>
      </c>
      <c r="F245" s="2">
        <v>1</v>
      </c>
      <c r="G245" t="s">
        <v>1449</v>
      </c>
      <c r="H245" t="s">
        <v>1131</v>
      </c>
      <c r="I245" t="s">
        <v>1769</v>
      </c>
      <c r="J245" t="s">
        <v>1323</v>
      </c>
      <c r="K245" s="3">
        <v>1</v>
      </c>
      <c r="L245" s="4">
        <v>9.4499999999999993</v>
      </c>
      <c r="O245" t="s">
        <v>2</v>
      </c>
      <c r="P245" t="s">
        <v>547</v>
      </c>
      <c r="Q245" s="2">
        <v>10</v>
      </c>
      <c r="R245" s="5">
        <v>10.5</v>
      </c>
      <c r="S245" s="5">
        <v>1.05</v>
      </c>
      <c r="T245" s="2">
        <v>9</v>
      </c>
      <c r="U245" t="s">
        <v>3</v>
      </c>
      <c r="V245" t="s">
        <v>123</v>
      </c>
      <c r="W245" s="5">
        <v>36.22</v>
      </c>
    </row>
    <row r="246" spans="1:23" ht="15" x14ac:dyDescent="0.2">
      <c r="A246" t="s">
        <v>1009</v>
      </c>
      <c r="B246" s="1">
        <f>45909</f>
        <v>45909</v>
      </c>
      <c r="C246" t="s">
        <v>0</v>
      </c>
      <c r="D246">
        <v>108108</v>
      </c>
      <c r="E246" s="2">
        <v>25004435</v>
      </c>
      <c r="F246" s="2">
        <v>2</v>
      </c>
      <c r="G246" t="s">
        <v>1449</v>
      </c>
      <c r="H246" t="s">
        <v>1131</v>
      </c>
      <c r="I246" t="s">
        <v>1769</v>
      </c>
      <c r="J246" t="s">
        <v>1323</v>
      </c>
      <c r="K246" s="3">
        <v>1</v>
      </c>
      <c r="L246" s="4">
        <v>9.4499999999999993</v>
      </c>
      <c r="O246" t="s">
        <v>2</v>
      </c>
      <c r="P246" t="s">
        <v>547</v>
      </c>
      <c r="Q246" s="2">
        <v>10</v>
      </c>
      <c r="R246" s="5">
        <v>10.5</v>
      </c>
      <c r="S246" s="5">
        <v>1.05</v>
      </c>
      <c r="T246" s="2">
        <v>9</v>
      </c>
      <c r="U246" t="s">
        <v>3</v>
      </c>
      <c r="V246" t="s">
        <v>123</v>
      </c>
      <c r="W246" s="5">
        <v>36.22</v>
      </c>
    </row>
    <row r="247" spans="1:23" ht="15" x14ac:dyDescent="0.2">
      <c r="A247" t="s">
        <v>1009</v>
      </c>
      <c r="B247" s="1">
        <f>45909</f>
        <v>45909</v>
      </c>
      <c r="C247" t="s">
        <v>0</v>
      </c>
      <c r="D247">
        <v>108108</v>
      </c>
      <c r="E247" s="2">
        <v>25004435</v>
      </c>
      <c r="F247" s="2">
        <v>3</v>
      </c>
      <c r="G247" t="s">
        <v>1412</v>
      </c>
      <c r="H247" t="s">
        <v>1094</v>
      </c>
      <c r="I247" t="s">
        <v>1769</v>
      </c>
      <c r="J247" t="s">
        <v>1323</v>
      </c>
      <c r="K247" s="3">
        <v>1</v>
      </c>
      <c r="L247" s="4">
        <v>24.2</v>
      </c>
      <c r="O247" t="s">
        <v>2</v>
      </c>
      <c r="P247" t="s">
        <v>547</v>
      </c>
      <c r="Q247" s="2">
        <v>10</v>
      </c>
      <c r="R247" s="5">
        <v>26.9</v>
      </c>
      <c r="S247" s="5">
        <v>2.7</v>
      </c>
      <c r="T247" s="2">
        <v>24</v>
      </c>
      <c r="U247" t="s">
        <v>3</v>
      </c>
      <c r="V247" t="s">
        <v>123</v>
      </c>
      <c r="W247" s="5">
        <v>36.22</v>
      </c>
    </row>
    <row r="248" spans="1:23" ht="15" x14ac:dyDescent="0.2">
      <c r="A248" t="s">
        <v>1009</v>
      </c>
      <c r="B248" s="1">
        <f>45909</f>
        <v>45909</v>
      </c>
      <c r="C248" t="s">
        <v>0</v>
      </c>
      <c r="D248">
        <v>108108</v>
      </c>
      <c r="E248" s="2">
        <v>25004436</v>
      </c>
      <c r="F248" s="2">
        <v>1</v>
      </c>
      <c r="G248" t="s">
        <v>1360</v>
      </c>
      <c r="H248" t="s">
        <v>1042</v>
      </c>
      <c r="I248" t="s">
        <v>1770</v>
      </c>
      <c r="J248" t="s">
        <v>1323</v>
      </c>
      <c r="K248" s="3">
        <v>1</v>
      </c>
      <c r="L248" s="4">
        <v>22.9</v>
      </c>
      <c r="O248" t="s">
        <v>2</v>
      </c>
      <c r="P248" t="s">
        <v>548</v>
      </c>
      <c r="Q248" s="2">
        <v>0</v>
      </c>
      <c r="R248" s="5">
        <v>22.9</v>
      </c>
      <c r="S248" s="5">
        <v>0</v>
      </c>
      <c r="T248" s="2">
        <v>23</v>
      </c>
      <c r="U248" t="s">
        <v>3</v>
      </c>
      <c r="V248" t="s">
        <v>49</v>
      </c>
      <c r="W248" s="5">
        <v>19.239999999999998</v>
      </c>
    </row>
    <row r="249" spans="1:23" ht="15" x14ac:dyDescent="0.2">
      <c r="A249" t="s">
        <v>1009</v>
      </c>
      <c r="B249" s="1">
        <f>45909</f>
        <v>45909</v>
      </c>
      <c r="C249" t="s">
        <v>0</v>
      </c>
      <c r="D249">
        <v>108108</v>
      </c>
      <c r="E249" s="2">
        <v>25004437</v>
      </c>
      <c r="F249" s="2">
        <v>1</v>
      </c>
      <c r="G249" t="s">
        <v>1469</v>
      </c>
      <c r="H249" t="s">
        <v>1150</v>
      </c>
      <c r="I249" t="s">
        <v>1714</v>
      </c>
      <c r="J249" t="s">
        <v>1323</v>
      </c>
      <c r="K249" s="3">
        <v>1</v>
      </c>
      <c r="L249" s="4">
        <v>27.5</v>
      </c>
      <c r="O249" t="s">
        <v>2</v>
      </c>
      <c r="P249" t="s">
        <v>549</v>
      </c>
      <c r="Q249" s="2">
        <v>0</v>
      </c>
      <c r="R249" s="5">
        <v>27.5</v>
      </c>
      <c r="S249" s="5">
        <v>0</v>
      </c>
      <c r="T249" s="2">
        <v>28</v>
      </c>
      <c r="U249" t="s">
        <v>3</v>
      </c>
      <c r="V249" t="s">
        <v>70</v>
      </c>
      <c r="W249" s="5">
        <v>23.11</v>
      </c>
    </row>
    <row r="250" spans="1:23" ht="15" x14ac:dyDescent="0.2">
      <c r="A250" t="s">
        <v>1009</v>
      </c>
      <c r="B250" s="1">
        <f>45909</f>
        <v>45909</v>
      </c>
      <c r="C250" t="s">
        <v>0</v>
      </c>
      <c r="D250">
        <v>108108</v>
      </c>
      <c r="E250" s="2">
        <v>25004438</v>
      </c>
      <c r="F250" s="2">
        <v>1</v>
      </c>
      <c r="G250" t="s">
        <v>1384</v>
      </c>
      <c r="H250" t="s">
        <v>1066</v>
      </c>
      <c r="I250" t="s">
        <v>1661</v>
      </c>
      <c r="J250" t="s">
        <v>1323</v>
      </c>
      <c r="K250" s="3">
        <v>1</v>
      </c>
      <c r="L250" s="4">
        <v>28.9</v>
      </c>
      <c r="O250" t="s">
        <v>2</v>
      </c>
      <c r="P250" t="s">
        <v>550</v>
      </c>
      <c r="Q250" s="2">
        <v>0</v>
      </c>
      <c r="R250" s="5">
        <v>28.9</v>
      </c>
      <c r="S250" s="5">
        <v>0</v>
      </c>
      <c r="T250" s="2">
        <v>29</v>
      </c>
      <c r="U250" t="s">
        <v>3</v>
      </c>
      <c r="V250" t="s">
        <v>17</v>
      </c>
      <c r="W250" s="5">
        <v>24.29</v>
      </c>
    </row>
    <row r="251" spans="1:23" ht="15" x14ac:dyDescent="0.2">
      <c r="A251" t="s">
        <v>1009</v>
      </c>
      <c r="B251" s="1">
        <f>45909</f>
        <v>45909</v>
      </c>
      <c r="C251" t="s">
        <v>0</v>
      </c>
      <c r="D251">
        <v>108108</v>
      </c>
      <c r="E251" s="2">
        <v>25004439</v>
      </c>
      <c r="F251" s="2">
        <v>1</v>
      </c>
      <c r="G251" t="s">
        <v>1449</v>
      </c>
      <c r="H251" t="s">
        <v>1131</v>
      </c>
      <c r="I251" t="s">
        <v>1771</v>
      </c>
      <c r="J251" t="s">
        <v>1323</v>
      </c>
      <c r="K251" s="3">
        <v>1</v>
      </c>
      <c r="L251" s="4">
        <v>10.5</v>
      </c>
      <c r="O251" t="s">
        <v>2</v>
      </c>
      <c r="P251" t="s">
        <v>551</v>
      </c>
      <c r="Q251" s="2">
        <v>0</v>
      </c>
      <c r="R251" s="5">
        <v>10.5</v>
      </c>
      <c r="S251" s="5">
        <v>0</v>
      </c>
      <c r="T251" s="2">
        <v>11</v>
      </c>
      <c r="U251" t="s">
        <v>3</v>
      </c>
      <c r="V251" t="s">
        <v>124</v>
      </c>
      <c r="W251" s="5">
        <v>8.82</v>
      </c>
    </row>
    <row r="252" spans="1:23" ht="15" x14ac:dyDescent="0.2">
      <c r="A252" t="s">
        <v>1009</v>
      </c>
      <c r="B252" s="1">
        <f>45909</f>
        <v>45909</v>
      </c>
      <c r="C252" t="s">
        <v>0</v>
      </c>
      <c r="D252">
        <v>108108</v>
      </c>
      <c r="E252" s="2">
        <v>25004440</v>
      </c>
      <c r="F252" s="2">
        <v>1</v>
      </c>
      <c r="G252" t="s">
        <v>1468</v>
      </c>
      <c r="H252" t="s">
        <v>1149</v>
      </c>
      <c r="I252" t="s">
        <v>1772</v>
      </c>
      <c r="J252" t="s">
        <v>1323</v>
      </c>
      <c r="K252" s="3">
        <v>1</v>
      </c>
      <c r="L252" s="4">
        <v>26.9</v>
      </c>
      <c r="O252" t="s">
        <v>2</v>
      </c>
      <c r="P252" t="s">
        <v>552</v>
      </c>
      <c r="Q252" s="2">
        <v>0</v>
      </c>
      <c r="R252" s="5">
        <v>26.9</v>
      </c>
      <c r="S252" s="5">
        <v>0</v>
      </c>
      <c r="T252" s="2">
        <v>27</v>
      </c>
      <c r="U252" t="s">
        <v>3</v>
      </c>
      <c r="V252" t="s">
        <v>125</v>
      </c>
      <c r="W252" s="5">
        <v>22.61</v>
      </c>
    </row>
    <row r="253" spans="1:23" ht="15" x14ac:dyDescent="0.2">
      <c r="A253" t="s">
        <v>1009</v>
      </c>
      <c r="B253" s="1">
        <f>45909</f>
        <v>45909</v>
      </c>
      <c r="C253" t="s">
        <v>0</v>
      </c>
      <c r="D253">
        <v>108108</v>
      </c>
      <c r="E253" s="2">
        <v>25004441</v>
      </c>
      <c r="F253" s="2">
        <v>1</v>
      </c>
      <c r="G253" t="s">
        <v>1352</v>
      </c>
      <c r="H253" t="s">
        <v>1034</v>
      </c>
      <c r="I253" t="s">
        <v>1773</v>
      </c>
      <c r="J253" t="s">
        <v>1323</v>
      </c>
      <c r="K253" s="3">
        <v>1</v>
      </c>
      <c r="L253" s="4">
        <v>9.9</v>
      </c>
      <c r="O253" t="s">
        <v>2</v>
      </c>
      <c r="P253" t="s">
        <v>553</v>
      </c>
      <c r="Q253" s="2">
        <v>0</v>
      </c>
      <c r="R253" s="5">
        <v>9.9</v>
      </c>
      <c r="S253" s="5">
        <v>0</v>
      </c>
      <c r="T253" s="2">
        <v>10</v>
      </c>
      <c r="U253" t="s">
        <v>3</v>
      </c>
      <c r="V253" t="s">
        <v>126</v>
      </c>
      <c r="W253" s="5">
        <v>8.32</v>
      </c>
    </row>
    <row r="254" spans="1:23" ht="15" x14ac:dyDescent="0.2">
      <c r="A254" t="s">
        <v>1009</v>
      </c>
      <c r="B254" s="1">
        <f>45909</f>
        <v>45909</v>
      </c>
      <c r="C254" t="s">
        <v>0</v>
      </c>
      <c r="D254">
        <v>108108</v>
      </c>
      <c r="E254" s="2">
        <v>25004442</v>
      </c>
      <c r="F254" s="2">
        <v>1</v>
      </c>
      <c r="G254" t="s">
        <v>1470</v>
      </c>
      <c r="H254" t="s">
        <v>1151</v>
      </c>
      <c r="I254" t="s">
        <v>1774</v>
      </c>
      <c r="J254" t="s">
        <v>1323</v>
      </c>
      <c r="K254" s="3">
        <v>1</v>
      </c>
      <c r="L254" s="4">
        <v>22.4</v>
      </c>
      <c r="O254" t="s">
        <v>2</v>
      </c>
      <c r="P254" t="s">
        <v>554</v>
      </c>
      <c r="Q254" s="2">
        <v>10</v>
      </c>
      <c r="R254" s="5">
        <v>24.9</v>
      </c>
      <c r="S254" s="5">
        <v>2.5</v>
      </c>
      <c r="T254" s="2">
        <v>22</v>
      </c>
      <c r="U254" t="s">
        <v>3</v>
      </c>
      <c r="V254" t="s">
        <v>127</v>
      </c>
      <c r="W254" s="5">
        <v>44.03</v>
      </c>
    </row>
    <row r="255" spans="1:23" ht="15" x14ac:dyDescent="0.2">
      <c r="A255" t="s">
        <v>1009</v>
      </c>
      <c r="B255" s="1">
        <f>45909</f>
        <v>45909</v>
      </c>
      <c r="C255" t="s">
        <v>0</v>
      </c>
      <c r="D255">
        <v>108108</v>
      </c>
      <c r="E255" s="2">
        <v>25004442</v>
      </c>
      <c r="F255" s="2">
        <v>2</v>
      </c>
      <c r="G255" t="s">
        <v>1371</v>
      </c>
      <c r="H255" t="s">
        <v>1053</v>
      </c>
      <c r="I255" t="s">
        <v>1774</v>
      </c>
      <c r="J255" t="s">
        <v>1323</v>
      </c>
      <c r="K255" s="3">
        <v>1</v>
      </c>
      <c r="L255" s="4">
        <v>7.6</v>
      </c>
      <c r="O255" t="s">
        <v>2</v>
      </c>
      <c r="P255" t="s">
        <v>554</v>
      </c>
      <c r="Q255" s="2">
        <v>10</v>
      </c>
      <c r="R255" s="5">
        <v>8.4499999999999993</v>
      </c>
      <c r="S255" s="5">
        <v>0.85</v>
      </c>
      <c r="T255" s="2">
        <v>8</v>
      </c>
      <c r="U255" t="s">
        <v>3</v>
      </c>
      <c r="V255" t="s">
        <v>127</v>
      </c>
      <c r="W255" s="5">
        <v>44.03</v>
      </c>
    </row>
    <row r="256" spans="1:23" ht="15" x14ac:dyDescent="0.2">
      <c r="A256" t="s">
        <v>1009</v>
      </c>
      <c r="B256" s="1">
        <f>45909</f>
        <v>45909</v>
      </c>
      <c r="C256" t="s">
        <v>0</v>
      </c>
      <c r="D256">
        <v>108108</v>
      </c>
      <c r="E256" s="2">
        <v>25004442</v>
      </c>
      <c r="F256" s="2">
        <v>3</v>
      </c>
      <c r="G256" t="s">
        <v>1470</v>
      </c>
      <c r="H256" t="s">
        <v>1151</v>
      </c>
      <c r="I256" t="s">
        <v>1774</v>
      </c>
      <c r="J256" t="s">
        <v>1323</v>
      </c>
      <c r="K256" s="3">
        <v>1</v>
      </c>
      <c r="L256" s="4">
        <v>22.4</v>
      </c>
      <c r="O256" t="s">
        <v>2</v>
      </c>
      <c r="P256" t="s">
        <v>554</v>
      </c>
      <c r="Q256" s="2">
        <v>10</v>
      </c>
      <c r="R256" s="5">
        <v>24.9</v>
      </c>
      <c r="S256" s="5">
        <v>2.5</v>
      </c>
      <c r="T256" s="2">
        <v>22</v>
      </c>
      <c r="U256" t="s">
        <v>3</v>
      </c>
      <c r="V256" t="s">
        <v>127</v>
      </c>
      <c r="W256" s="5">
        <v>44.03</v>
      </c>
    </row>
    <row r="257" spans="1:23" ht="15" x14ac:dyDescent="0.2">
      <c r="A257" t="s">
        <v>1009</v>
      </c>
      <c r="B257" s="1">
        <f>45909</f>
        <v>45909</v>
      </c>
      <c r="C257" t="s">
        <v>0</v>
      </c>
      <c r="D257">
        <v>108108</v>
      </c>
      <c r="E257" s="2">
        <v>25004443</v>
      </c>
      <c r="F257" s="2">
        <v>1</v>
      </c>
      <c r="G257" t="s">
        <v>1646</v>
      </c>
      <c r="H257" t="s">
        <v>361</v>
      </c>
      <c r="I257" t="s">
        <v>1647</v>
      </c>
      <c r="J257" t="s">
        <v>1323</v>
      </c>
      <c r="K257" s="3">
        <v>1</v>
      </c>
      <c r="L257" s="4">
        <v>-450</v>
      </c>
      <c r="Q257" s="2">
        <v>0</v>
      </c>
      <c r="R257" s="5">
        <v>-450</v>
      </c>
      <c r="S257" s="5">
        <v>0</v>
      </c>
      <c r="T257" s="2">
        <v>-450</v>
      </c>
      <c r="U257" t="s">
        <v>1</v>
      </c>
      <c r="V257" t="s">
        <v>361</v>
      </c>
      <c r="W257" s="5">
        <v>-450</v>
      </c>
    </row>
    <row r="258" spans="1:23" ht="15" x14ac:dyDescent="0.2">
      <c r="A258" t="s">
        <v>1009</v>
      </c>
      <c r="B258" s="1">
        <f>45910</f>
        <v>45910</v>
      </c>
      <c r="C258" t="s">
        <v>0</v>
      </c>
      <c r="D258">
        <v>108108</v>
      </c>
      <c r="E258" s="2">
        <v>25004444</v>
      </c>
      <c r="F258" s="2">
        <v>1</v>
      </c>
      <c r="G258" t="s">
        <v>1646</v>
      </c>
      <c r="H258" t="s">
        <v>361</v>
      </c>
      <c r="I258" t="s">
        <v>1647</v>
      </c>
      <c r="J258" t="s">
        <v>1326</v>
      </c>
      <c r="K258" s="3">
        <v>1</v>
      </c>
      <c r="L258" s="4">
        <v>450</v>
      </c>
      <c r="Q258" s="2">
        <v>0</v>
      </c>
      <c r="R258" s="5">
        <v>450</v>
      </c>
      <c r="S258" s="5">
        <v>0</v>
      </c>
      <c r="T258" s="2">
        <v>450</v>
      </c>
      <c r="U258" t="s">
        <v>1</v>
      </c>
      <c r="V258" t="s">
        <v>361</v>
      </c>
      <c r="W258" s="5">
        <v>450</v>
      </c>
    </row>
    <row r="259" spans="1:23" ht="15" x14ac:dyDescent="0.2">
      <c r="A259" t="s">
        <v>1009</v>
      </c>
      <c r="B259" s="1">
        <f>45910</f>
        <v>45910</v>
      </c>
      <c r="C259" t="s">
        <v>0</v>
      </c>
      <c r="D259">
        <v>108108</v>
      </c>
      <c r="E259" s="2">
        <v>25004445</v>
      </c>
      <c r="F259" s="2">
        <v>1</v>
      </c>
      <c r="G259" t="s">
        <v>1471</v>
      </c>
      <c r="H259" t="s">
        <v>1152</v>
      </c>
      <c r="I259" t="s">
        <v>1775</v>
      </c>
      <c r="J259" t="s">
        <v>1326</v>
      </c>
      <c r="K259" s="3">
        <v>1</v>
      </c>
      <c r="L259" s="4">
        <v>27.9</v>
      </c>
      <c r="O259" t="s">
        <v>2</v>
      </c>
      <c r="P259" t="s">
        <v>555</v>
      </c>
      <c r="Q259" s="2">
        <v>0</v>
      </c>
      <c r="R259" s="5">
        <v>27.9</v>
      </c>
      <c r="S259" s="5">
        <v>0</v>
      </c>
      <c r="T259" s="2">
        <v>28</v>
      </c>
      <c r="U259" t="s">
        <v>3</v>
      </c>
      <c r="V259" t="s">
        <v>128</v>
      </c>
      <c r="W259" s="5">
        <v>23.45</v>
      </c>
    </row>
    <row r="260" spans="1:23" ht="15" x14ac:dyDescent="0.2">
      <c r="A260" t="s">
        <v>1009</v>
      </c>
      <c r="B260" s="1">
        <f>45910</f>
        <v>45910</v>
      </c>
      <c r="C260" t="s">
        <v>0</v>
      </c>
      <c r="D260">
        <v>108108</v>
      </c>
      <c r="E260" s="2">
        <v>25004446</v>
      </c>
      <c r="F260" s="2">
        <v>1</v>
      </c>
      <c r="G260" t="s">
        <v>1408</v>
      </c>
      <c r="H260" t="s">
        <v>1090</v>
      </c>
      <c r="I260" t="s">
        <v>1776</v>
      </c>
      <c r="J260" t="s">
        <v>1326</v>
      </c>
      <c r="K260" s="3">
        <v>1</v>
      </c>
      <c r="L260" s="4">
        <v>22.9</v>
      </c>
      <c r="O260" t="s">
        <v>2</v>
      </c>
      <c r="P260" t="s">
        <v>556</v>
      </c>
      <c r="Q260" s="2">
        <v>0</v>
      </c>
      <c r="R260" s="5">
        <v>22.9</v>
      </c>
      <c r="S260" s="5">
        <v>0</v>
      </c>
      <c r="T260" s="2">
        <v>23</v>
      </c>
      <c r="U260" t="s">
        <v>3</v>
      </c>
      <c r="V260" t="s">
        <v>129</v>
      </c>
      <c r="W260" s="5">
        <v>19.239999999999998</v>
      </c>
    </row>
    <row r="261" spans="1:23" ht="15" x14ac:dyDescent="0.2">
      <c r="A261" t="s">
        <v>1009</v>
      </c>
      <c r="B261" s="1">
        <f>45910</f>
        <v>45910</v>
      </c>
      <c r="C261" t="s">
        <v>0</v>
      </c>
      <c r="D261">
        <v>108108</v>
      </c>
      <c r="E261" s="2">
        <v>25004447</v>
      </c>
      <c r="F261" s="2">
        <v>1</v>
      </c>
      <c r="G261" t="s">
        <v>1472</v>
      </c>
      <c r="H261" t="s">
        <v>1153</v>
      </c>
      <c r="I261" t="s">
        <v>1777</v>
      </c>
      <c r="J261" t="s">
        <v>1326</v>
      </c>
      <c r="K261" s="3">
        <v>1</v>
      </c>
      <c r="L261" s="4">
        <v>18</v>
      </c>
      <c r="O261" t="s">
        <v>2</v>
      </c>
      <c r="P261" t="s">
        <v>557</v>
      </c>
      <c r="Q261" s="2">
        <v>0</v>
      </c>
      <c r="R261" s="5">
        <v>18</v>
      </c>
      <c r="S261" s="5">
        <v>0</v>
      </c>
      <c r="T261" s="2">
        <v>18</v>
      </c>
      <c r="U261" t="s">
        <v>3</v>
      </c>
      <c r="V261" t="s">
        <v>130</v>
      </c>
      <c r="W261" s="5">
        <v>15.13</v>
      </c>
    </row>
    <row r="262" spans="1:23" ht="15" x14ac:dyDescent="0.2">
      <c r="A262" t="s">
        <v>1009</v>
      </c>
      <c r="B262" s="1">
        <f>45910</f>
        <v>45910</v>
      </c>
      <c r="C262" t="s">
        <v>0</v>
      </c>
      <c r="D262">
        <v>108108</v>
      </c>
      <c r="E262" s="2">
        <v>25004448</v>
      </c>
      <c r="F262" s="2">
        <v>1</v>
      </c>
      <c r="G262" t="s">
        <v>1473</v>
      </c>
      <c r="H262" t="s">
        <v>1154</v>
      </c>
      <c r="I262" t="s">
        <v>1778</v>
      </c>
      <c r="J262" t="s">
        <v>1326</v>
      </c>
      <c r="K262" s="3">
        <v>1</v>
      </c>
      <c r="L262" s="4">
        <v>21.9</v>
      </c>
      <c r="O262" t="s">
        <v>2</v>
      </c>
      <c r="P262" t="s">
        <v>558</v>
      </c>
      <c r="Q262" s="2">
        <v>0</v>
      </c>
      <c r="R262" s="5">
        <v>21.9</v>
      </c>
      <c r="S262" s="5">
        <v>0</v>
      </c>
      <c r="T262" s="2">
        <v>22</v>
      </c>
      <c r="U262" t="s">
        <v>3</v>
      </c>
      <c r="V262" t="s">
        <v>131</v>
      </c>
      <c r="W262" s="5">
        <v>24.28</v>
      </c>
    </row>
    <row r="263" spans="1:23" ht="15" x14ac:dyDescent="0.2">
      <c r="A263" t="s">
        <v>1009</v>
      </c>
      <c r="B263" s="1">
        <f>45910</f>
        <v>45910</v>
      </c>
      <c r="C263" t="s">
        <v>0</v>
      </c>
      <c r="D263">
        <v>108108</v>
      </c>
      <c r="E263" s="2">
        <v>25004448</v>
      </c>
      <c r="F263" s="2">
        <v>2</v>
      </c>
      <c r="G263" t="s">
        <v>1467</v>
      </c>
      <c r="H263" t="s">
        <v>1148</v>
      </c>
      <c r="I263" t="s">
        <v>1778</v>
      </c>
      <c r="J263" t="s">
        <v>1326</v>
      </c>
      <c r="K263" s="3">
        <v>1</v>
      </c>
      <c r="L263" s="4">
        <v>7</v>
      </c>
      <c r="O263" t="s">
        <v>2</v>
      </c>
      <c r="P263" t="s">
        <v>558</v>
      </c>
      <c r="Q263" s="2">
        <v>0</v>
      </c>
      <c r="R263" s="5">
        <v>7</v>
      </c>
      <c r="S263" s="5">
        <v>0</v>
      </c>
      <c r="T263" s="2">
        <v>7</v>
      </c>
      <c r="U263" t="s">
        <v>3</v>
      </c>
      <c r="V263" t="s">
        <v>131</v>
      </c>
      <c r="W263" s="5">
        <v>24.28</v>
      </c>
    </row>
    <row r="264" spans="1:23" ht="15" x14ac:dyDescent="0.2">
      <c r="A264" t="s">
        <v>1009</v>
      </c>
      <c r="B264" s="1">
        <f>45910</f>
        <v>45910</v>
      </c>
      <c r="C264" t="s">
        <v>0</v>
      </c>
      <c r="D264">
        <v>108108</v>
      </c>
      <c r="E264" s="2">
        <v>25004449</v>
      </c>
      <c r="F264" s="2">
        <v>1</v>
      </c>
      <c r="G264" t="s">
        <v>1351</v>
      </c>
      <c r="H264" t="s">
        <v>1033</v>
      </c>
      <c r="I264" t="s">
        <v>1779</v>
      </c>
      <c r="J264" t="s">
        <v>1326</v>
      </c>
      <c r="K264" s="3">
        <v>1</v>
      </c>
      <c r="L264" s="4">
        <v>21.9</v>
      </c>
      <c r="O264" t="s">
        <v>2</v>
      </c>
      <c r="P264" t="s">
        <v>559</v>
      </c>
      <c r="Q264" s="2">
        <v>0</v>
      </c>
      <c r="R264" s="5">
        <v>21.9</v>
      </c>
      <c r="S264" s="5">
        <v>0</v>
      </c>
      <c r="T264" s="2">
        <v>22</v>
      </c>
      <c r="U264" t="s">
        <v>3</v>
      </c>
      <c r="V264" t="s">
        <v>132</v>
      </c>
      <c r="W264" s="5">
        <v>18.399999999999999</v>
      </c>
    </row>
    <row r="265" spans="1:23" ht="15" x14ac:dyDescent="0.2">
      <c r="A265" t="s">
        <v>1009</v>
      </c>
      <c r="B265" s="1">
        <f>45910</f>
        <v>45910</v>
      </c>
      <c r="C265" t="s">
        <v>0</v>
      </c>
      <c r="D265">
        <v>108108</v>
      </c>
      <c r="E265" s="2">
        <v>25004450</v>
      </c>
      <c r="F265" s="2">
        <v>1</v>
      </c>
      <c r="G265" t="s">
        <v>1449</v>
      </c>
      <c r="H265" t="s">
        <v>1131</v>
      </c>
      <c r="I265" t="s">
        <v>1780</v>
      </c>
      <c r="J265" t="s">
        <v>1323</v>
      </c>
      <c r="K265" s="3">
        <v>1</v>
      </c>
      <c r="L265" s="4">
        <v>10.5</v>
      </c>
      <c r="O265" t="s">
        <v>2</v>
      </c>
      <c r="P265" t="s">
        <v>560</v>
      </c>
      <c r="Q265" s="2">
        <v>0</v>
      </c>
      <c r="R265" s="5">
        <v>10.5</v>
      </c>
      <c r="S265" s="5">
        <v>0</v>
      </c>
      <c r="T265" s="2">
        <v>11</v>
      </c>
      <c r="U265" t="s">
        <v>3</v>
      </c>
      <c r="V265" t="s">
        <v>133</v>
      </c>
      <c r="W265" s="5">
        <v>31.42</v>
      </c>
    </row>
    <row r="266" spans="1:23" ht="15" x14ac:dyDescent="0.2">
      <c r="A266" t="s">
        <v>1009</v>
      </c>
      <c r="B266" s="1">
        <f>45910</f>
        <v>45910</v>
      </c>
      <c r="C266" t="s">
        <v>0</v>
      </c>
      <c r="D266">
        <v>108108</v>
      </c>
      <c r="E266" s="2">
        <v>25004450</v>
      </c>
      <c r="F266" s="2">
        <v>2</v>
      </c>
      <c r="G266" t="s">
        <v>1474</v>
      </c>
      <c r="H266" t="s">
        <v>1155</v>
      </c>
      <c r="I266" t="s">
        <v>1780</v>
      </c>
      <c r="J266" t="s">
        <v>1323</v>
      </c>
      <c r="K266" s="3">
        <v>1</v>
      </c>
      <c r="L266" s="4">
        <v>21.9</v>
      </c>
      <c r="O266" t="s">
        <v>2</v>
      </c>
      <c r="P266" t="s">
        <v>560</v>
      </c>
      <c r="Q266" s="2">
        <v>0</v>
      </c>
      <c r="R266" s="5">
        <v>21.9</v>
      </c>
      <c r="S266" s="5">
        <v>0</v>
      </c>
      <c r="T266" s="2">
        <v>22</v>
      </c>
      <c r="U266" t="s">
        <v>3</v>
      </c>
      <c r="V266" t="s">
        <v>133</v>
      </c>
      <c r="W266" s="5">
        <v>31.42</v>
      </c>
    </row>
    <row r="267" spans="1:23" ht="15" x14ac:dyDescent="0.2">
      <c r="A267" t="s">
        <v>1009</v>
      </c>
      <c r="B267" s="1">
        <f>45910</f>
        <v>45910</v>
      </c>
      <c r="C267" t="s">
        <v>0</v>
      </c>
      <c r="D267">
        <v>108108</v>
      </c>
      <c r="E267" s="2">
        <v>25004450</v>
      </c>
      <c r="F267" s="2">
        <v>3</v>
      </c>
      <c r="G267" t="s">
        <v>1332</v>
      </c>
      <c r="H267" t="s">
        <v>362</v>
      </c>
      <c r="I267" t="s">
        <v>1780</v>
      </c>
      <c r="J267" t="s">
        <v>1323</v>
      </c>
      <c r="K267" s="3">
        <v>1</v>
      </c>
      <c r="L267" s="4">
        <v>5</v>
      </c>
      <c r="O267" t="s">
        <v>2</v>
      </c>
      <c r="P267" t="s">
        <v>560</v>
      </c>
      <c r="Q267" s="2">
        <v>0</v>
      </c>
      <c r="R267" s="5">
        <v>5</v>
      </c>
      <c r="S267" s="5">
        <v>0</v>
      </c>
      <c r="T267" s="2">
        <v>5</v>
      </c>
      <c r="U267" t="s">
        <v>3</v>
      </c>
      <c r="V267" t="s">
        <v>133</v>
      </c>
      <c r="W267" s="5">
        <v>31.42</v>
      </c>
    </row>
    <row r="268" spans="1:23" ht="15" x14ac:dyDescent="0.2">
      <c r="A268" t="s">
        <v>1009</v>
      </c>
      <c r="B268" s="1">
        <f>45910</f>
        <v>45910</v>
      </c>
      <c r="C268" t="s">
        <v>0</v>
      </c>
      <c r="D268">
        <v>108108</v>
      </c>
      <c r="E268" s="2">
        <v>25004451</v>
      </c>
      <c r="F268" s="2">
        <v>1</v>
      </c>
      <c r="G268" t="s">
        <v>1335</v>
      </c>
      <c r="H268" t="s">
        <v>1017</v>
      </c>
      <c r="I268" t="s">
        <v>1647</v>
      </c>
      <c r="J268" t="s">
        <v>1323</v>
      </c>
      <c r="K268" s="3">
        <v>1</v>
      </c>
      <c r="L268" s="4">
        <v>26.9</v>
      </c>
      <c r="O268" t="s">
        <v>2</v>
      </c>
      <c r="P268" t="s">
        <v>561</v>
      </c>
      <c r="Q268" s="2">
        <v>0</v>
      </c>
      <c r="R268" s="5">
        <v>26.9</v>
      </c>
      <c r="S268" s="5">
        <v>0</v>
      </c>
      <c r="T268" s="2">
        <v>27</v>
      </c>
      <c r="U268" t="s">
        <v>3</v>
      </c>
      <c r="V268" t="s">
        <v>1322</v>
      </c>
      <c r="W268" s="5">
        <v>22.61</v>
      </c>
    </row>
    <row r="269" spans="1:23" ht="15" x14ac:dyDescent="0.2">
      <c r="A269" t="s">
        <v>1009</v>
      </c>
      <c r="B269" s="1">
        <f>45910</f>
        <v>45910</v>
      </c>
      <c r="C269" t="s">
        <v>0</v>
      </c>
      <c r="D269">
        <v>108108</v>
      </c>
      <c r="E269" s="2">
        <v>25004452</v>
      </c>
      <c r="F269" s="2">
        <v>1</v>
      </c>
      <c r="G269" t="s">
        <v>1475</v>
      </c>
      <c r="H269" t="s">
        <v>1156</v>
      </c>
      <c r="I269" t="s">
        <v>1647</v>
      </c>
      <c r="J269" t="s">
        <v>1326</v>
      </c>
      <c r="K269" s="3">
        <v>1</v>
      </c>
      <c r="L269" s="4">
        <v>27.5</v>
      </c>
      <c r="O269" t="s">
        <v>2</v>
      </c>
      <c r="P269" t="s">
        <v>562</v>
      </c>
      <c r="Q269" s="2">
        <v>0</v>
      </c>
      <c r="R269" s="5">
        <v>27.5</v>
      </c>
      <c r="S269" s="5">
        <v>0</v>
      </c>
      <c r="T269" s="2">
        <v>28</v>
      </c>
      <c r="U269" t="s">
        <v>3</v>
      </c>
      <c r="V269" t="s">
        <v>1322</v>
      </c>
      <c r="W269" s="5">
        <v>23.11</v>
      </c>
    </row>
    <row r="270" spans="1:23" ht="15" x14ac:dyDescent="0.2">
      <c r="A270" t="s">
        <v>1009</v>
      </c>
      <c r="B270" s="1">
        <f>45910</f>
        <v>45910</v>
      </c>
      <c r="C270" t="s">
        <v>0</v>
      </c>
      <c r="D270">
        <v>108108</v>
      </c>
      <c r="E270" s="2">
        <v>25004453</v>
      </c>
      <c r="F270" s="2">
        <v>1</v>
      </c>
      <c r="G270" t="s">
        <v>1351</v>
      </c>
      <c r="H270" t="s">
        <v>1033</v>
      </c>
      <c r="I270" t="s">
        <v>1736</v>
      </c>
      <c r="J270" t="s">
        <v>1323</v>
      </c>
      <c r="K270" s="3">
        <v>1</v>
      </c>
      <c r="L270" s="4">
        <v>21.9</v>
      </c>
      <c r="O270" t="s">
        <v>2</v>
      </c>
      <c r="P270" t="s">
        <v>563</v>
      </c>
      <c r="Q270" s="2">
        <v>0</v>
      </c>
      <c r="R270" s="5">
        <v>21.9</v>
      </c>
      <c r="S270" s="5">
        <v>0</v>
      </c>
      <c r="T270" s="2">
        <v>22</v>
      </c>
      <c r="U270" t="s">
        <v>3</v>
      </c>
      <c r="V270" t="s">
        <v>91</v>
      </c>
      <c r="W270" s="5">
        <v>18.399999999999999</v>
      </c>
    </row>
    <row r="271" spans="1:23" ht="15" x14ac:dyDescent="0.2">
      <c r="A271" t="s">
        <v>1009</v>
      </c>
      <c r="B271" s="1">
        <f>45910</f>
        <v>45910</v>
      </c>
      <c r="C271" t="s">
        <v>0</v>
      </c>
      <c r="D271">
        <v>108108</v>
      </c>
      <c r="E271" s="2">
        <v>25004454</v>
      </c>
      <c r="F271" s="2">
        <v>1</v>
      </c>
      <c r="G271" t="s">
        <v>1476</v>
      </c>
      <c r="H271" t="s">
        <v>1157</v>
      </c>
      <c r="I271" t="s">
        <v>1647</v>
      </c>
      <c r="J271" t="s">
        <v>1323</v>
      </c>
      <c r="K271" s="3">
        <v>1</v>
      </c>
      <c r="L271" s="4">
        <v>23.9</v>
      </c>
      <c r="O271" t="s">
        <v>2</v>
      </c>
      <c r="P271" t="s">
        <v>564</v>
      </c>
      <c r="Q271" s="2">
        <v>0</v>
      </c>
      <c r="R271" s="5">
        <v>23.9</v>
      </c>
      <c r="S271" s="5">
        <v>0</v>
      </c>
      <c r="T271" s="2">
        <v>24</v>
      </c>
      <c r="U271" t="s">
        <v>3</v>
      </c>
      <c r="V271" t="s">
        <v>1322</v>
      </c>
      <c r="W271" s="5">
        <v>20.079999999999998</v>
      </c>
    </row>
    <row r="272" spans="1:23" ht="15" x14ac:dyDescent="0.2">
      <c r="A272" t="s">
        <v>1009</v>
      </c>
      <c r="B272" s="1">
        <f>45910</f>
        <v>45910</v>
      </c>
      <c r="C272" t="s">
        <v>0</v>
      </c>
      <c r="D272">
        <v>108108</v>
      </c>
      <c r="E272" s="2">
        <v>25004455</v>
      </c>
      <c r="F272" s="2">
        <v>1</v>
      </c>
      <c r="G272" t="s">
        <v>1477</v>
      </c>
      <c r="H272" t="s">
        <v>1158</v>
      </c>
      <c r="I272" t="s">
        <v>1781</v>
      </c>
      <c r="J272" t="s">
        <v>1323</v>
      </c>
      <c r="K272" s="3">
        <v>1</v>
      </c>
      <c r="L272" s="4">
        <v>60</v>
      </c>
      <c r="O272" t="s">
        <v>2</v>
      </c>
      <c r="P272" t="s">
        <v>565</v>
      </c>
      <c r="Q272" s="2">
        <v>0</v>
      </c>
      <c r="R272" s="5">
        <v>60</v>
      </c>
      <c r="S272" s="5">
        <v>0</v>
      </c>
      <c r="T272" s="2">
        <v>60</v>
      </c>
      <c r="U272" t="s">
        <v>3</v>
      </c>
      <c r="V272" t="s">
        <v>134</v>
      </c>
      <c r="W272" s="5">
        <v>50.42</v>
      </c>
    </row>
    <row r="273" spans="1:23" ht="15" x14ac:dyDescent="0.2">
      <c r="A273" t="s">
        <v>1009</v>
      </c>
      <c r="B273" s="1">
        <f>45910</f>
        <v>45910</v>
      </c>
      <c r="C273" t="s">
        <v>0</v>
      </c>
      <c r="D273">
        <v>108108</v>
      </c>
      <c r="E273" s="2">
        <v>25004456</v>
      </c>
      <c r="F273" s="2">
        <v>1</v>
      </c>
      <c r="G273" t="s">
        <v>1429</v>
      </c>
      <c r="H273" t="s">
        <v>1111</v>
      </c>
      <c r="I273" t="s">
        <v>1782</v>
      </c>
      <c r="J273" t="s">
        <v>1323</v>
      </c>
      <c r="K273" s="3">
        <v>1</v>
      </c>
      <c r="L273" s="4">
        <v>21.9</v>
      </c>
      <c r="O273" t="s">
        <v>2</v>
      </c>
      <c r="P273" t="s">
        <v>566</v>
      </c>
      <c r="Q273" s="2">
        <v>0</v>
      </c>
      <c r="R273" s="5">
        <v>21.9</v>
      </c>
      <c r="S273" s="5">
        <v>0</v>
      </c>
      <c r="T273" s="2">
        <v>22</v>
      </c>
      <c r="U273" t="s">
        <v>3</v>
      </c>
      <c r="V273" t="s">
        <v>135</v>
      </c>
      <c r="W273" s="5">
        <v>22.6</v>
      </c>
    </row>
    <row r="274" spans="1:23" ht="15" x14ac:dyDescent="0.2">
      <c r="A274" t="s">
        <v>1009</v>
      </c>
      <c r="B274" s="1">
        <f>45910</f>
        <v>45910</v>
      </c>
      <c r="C274" t="s">
        <v>0</v>
      </c>
      <c r="D274">
        <v>108108</v>
      </c>
      <c r="E274" s="2">
        <v>25004456</v>
      </c>
      <c r="F274" s="2">
        <v>2</v>
      </c>
      <c r="G274" t="s">
        <v>1332</v>
      </c>
      <c r="H274" t="s">
        <v>362</v>
      </c>
      <c r="I274" t="s">
        <v>1782</v>
      </c>
      <c r="J274" t="s">
        <v>1323</v>
      </c>
      <c r="K274" s="3">
        <v>1</v>
      </c>
      <c r="L274" s="4">
        <v>5</v>
      </c>
      <c r="O274" t="s">
        <v>2</v>
      </c>
      <c r="P274" t="s">
        <v>566</v>
      </c>
      <c r="Q274" s="2">
        <v>0</v>
      </c>
      <c r="R274" s="5">
        <v>5</v>
      </c>
      <c r="S274" s="5">
        <v>0</v>
      </c>
      <c r="T274" s="2">
        <v>5</v>
      </c>
      <c r="U274" t="s">
        <v>3</v>
      </c>
      <c r="V274" t="s">
        <v>135</v>
      </c>
      <c r="W274" s="5">
        <v>22.6</v>
      </c>
    </row>
    <row r="275" spans="1:23" ht="15" x14ac:dyDescent="0.2">
      <c r="A275" t="s">
        <v>1009</v>
      </c>
      <c r="B275" s="1">
        <f>45910</f>
        <v>45910</v>
      </c>
      <c r="C275" t="s">
        <v>0</v>
      </c>
      <c r="D275">
        <v>108108</v>
      </c>
      <c r="E275" s="2">
        <v>25004457</v>
      </c>
      <c r="F275" s="2">
        <v>1</v>
      </c>
      <c r="G275" t="s">
        <v>1427</v>
      </c>
      <c r="H275" t="s">
        <v>1109</v>
      </c>
      <c r="I275" t="s">
        <v>1747</v>
      </c>
      <c r="J275" t="s">
        <v>1323</v>
      </c>
      <c r="K275" s="3">
        <v>1</v>
      </c>
      <c r="L275" s="4">
        <v>21.9</v>
      </c>
      <c r="O275" t="s">
        <v>2</v>
      </c>
      <c r="P275" t="s">
        <v>567</v>
      </c>
      <c r="Q275" s="2">
        <v>0</v>
      </c>
      <c r="R275" s="5">
        <v>21.9</v>
      </c>
      <c r="S275" s="5">
        <v>0</v>
      </c>
      <c r="T275" s="2">
        <v>22</v>
      </c>
      <c r="U275" t="s">
        <v>3</v>
      </c>
      <c r="V275" t="s">
        <v>102</v>
      </c>
      <c r="W275" s="5">
        <v>18.399999999999999</v>
      </c>
    </row>
    <row r="276" spans="1:23" ht="15" x14ac:dyDescent="0.2">
      <c r="A276" t="s">
        <v>1009</v>
      </c>
      <c r="B276" s="1">
        <f>45910</f>
        <v>45910</v>
      </c>
      <c r="C276" t="s">
        <v>0</v>
      </c>
      <c r="D276">
        <v>108108</v>
      </c>
      <c r="E276" s="2">
        <v>25004458</v>
      </c>
      <c r="F276" s="2">
        <v>1</v>
      </c>
      <c r="G276" t="s">
        <v>1478</v>
      </c>
      <c r="H276" t="s">
        <v>1159</v>
      </c>
      <c r="I276" t="s">
        <v>1770</v>
      </c>
      <c r="J276" t="s">
        <v>1323</v>
      </c>
      <c r="K276" s="3">
        <v>1</v>
      </c>
      <c r="L276" s="4">
        <v>27.9</v>
      </c>
      <c r="O276" t="s">
        <v>2</v>
      </c>
      <c r="P276" t="s">
        <v>568</v>
      </c>
      <c r="Q276" s="2">
        <v>0</v>
      </c>
      <c r="R276" s="5">
        <v>27.9</v>
      </c>
      <c r="S276" s="5">
        <v>0</v>
      </c>
      <c r="T276" s="2">
        <v>28</v>
      </c>
      <c r="U276" t="s">
        <v>3</v>
      </c>
      <c r="V276" t="s">
        <v>49</v>
      </c>
      <c r="W276" s="5">
        <v>23.45</v>
      </c>
    </row>
    <row r="277" spans="1:23" ht="15" x14ac:dyDescent="0.2">
      <c r="A277" t="s">
        <v>1009</v>
      </c>
      <c r="B277" s="1">
        <f>45910</f>
        <v>45910</v>
      </c>
      <c r="C277" t="s">
        <v>0</v>
      </c>
      <c r="D277">
        <v>108108</v>
      </c>
      <c r="E277" s="2">
        <v>25004459</v>
      </c>
      <c r="F277" s="2">
        <v>1</v>
      </c>
      <c r="G277" t="s">
        <v>1479</v>
      </c>
      <c r="H277" t="s">
        <v>1160</v>
      </c>
      <c r="I277" t="s">
        <v>1783</v>
      </c>
      <c r="J277" t="s">
        <v>1323</v>
      </c>
      <c r="K277" s="3">
        <v>1</v>
      </c>
      <c r="L277" s="4">
        <v>59</v>
      </c>
      <c r="O277" t="s">
        <v>2</v>
      </c>
      <c r="P277" t="s">
        <v>569</v>
      </c>
      <c r="Q277" s="2">
        <v>0</v>
      </c>
      <c r="R277" s="5">
        <v>59</v>
      </c>
      <c r="S277" s="5">
        <v>0</v>
      </c>
      <c r="T277" s="2">
        <v>59</v>
      </c>
      <c r="U277" t="s">
        <v>3</v>
      </c>
      <c r="V277" t="s">
        <v>130</v>
      </c>
      <c r="W277" s="5">
        <v>49.58</v>
      </c>
    </row>
    <row r="278" spans="1:23" ht="15" x14ac:dyDescent="0.2">
      <c r="A278" t="s">
        <v>1009</v>
      </c>
      <c r="B278" s="1">
        <f>45910</f>
        <v>45910</v>
      </c>
      <c r="C278" t="s">
        <v>0</v>
      </c>
      <c r="D278">
        <v>108108</v>
      </c>
      <c r="E278" s="2">
        <v>25004460</v>
      </c>
      <c r="F278" s="2">
        <v>1</v>
      </c>
      <c r="G278" t="s">
        <v>1441</v>
      </c>
      <c r="H278" t="s">
        <v>1123</v>
      </c>
      <c r="I278" t="s">
        <v>1784</v>
      </c>
      <c r="J278" t="s">
        <v>1323</v>
      </c>
      <c r="K278" s="3">
        <v>1</v>
      </c>
      <c r="L278" s="4">
        <v>16.899999999999999</v>
      </c>
      <c r="O278" t="s">
        <v>2</v>
      </c>
      <c r="P278" t="s">
        <v>570</v>
      </c>
      <c r="Q278" s="2">
        <v>0</v>
      </c>
      <c r="R278" s="5">
        <v>16.899999999999999</v>
      </c>
      <c r="S278" s="5">
        <v>0</v>
      </c>
      <c r="T278" s="2">
        <v>17</v>
      </c>
      <c r="U278" t="s">
        <v>3</v>
      </c>
      <c r="V278" t="s">
        <v>136</v>
      </c>
      <c r="W278" s="5">
        <v>14.2</v>
      </c>
    </row>
    <row r="279" spans="1:23" ht="15" x14ac:dyDescent="0.2">
      <c r="A279" t="s">
        <v>1009</v>
      </c>
      <c r="B279" s="1">
        <f>45910</f>
        <v>45910</v>
      </c>
      <c r="C279" t="s">
        <v>0</v>
      </c>
      <c r="D279">
        <v>108108</v>
      </c>
      <c r="E279" s="2">
        <v>25004461</v>
      </c>
      <c r="F279" s="2">
        <v>1</v>
      </c>
      <c r="G279" t="s">
        <v>1480</v>
      </c>
      <c r="H279" t="s">
        <v>1161</v>
      </c>
      <c r="I279" t="s">
        <v>1647</v>
      </c>
      <c r="J279" t="s">
        <v>1323</v>
      </c>
      <c r="K279" s="3">
        <v>1</v>
      </c>
      <c r="L279" s="4">
        <v>9</v>
      </c>
      <c r="O279" t="s">
        <v>2</v>
      </c>
      <c r="P279" t="s">
        <v>571</v>
      </c>
      <c r="Q279" s="2">
        <v>40</v>
      </c>
      <c r="R279" s="5">
        <v>15</v>
      </c>
      <c r="S279" s="5">
        <v>6</v>
      </c>
      <c r="T279" s="2">
        <v>9</v>
      </c>
      <c r="U279" t="s">
        <v>3</v>
      </c>
      <c r="V279" t="s">
        <v>1322</v>
      </c>
      <c r="W279" s="5">
        <v>7.56</v>
      </c>
    </row>
    <row r="280" spans="1:23" ht="15" x14ac:dyDescent="0.2">
      <c r="A280" t="s">
        <v>1009</v>
      </c>
      <c r="B280" s="1">
        <f>45910</f>
        <v>45910</v>
      </c>
      <c r="C280" t="s">
        <v>0</v>
      </c>
      <c r="D280">
        <v>108108</v>
      </c>
      <c r="E280" s="2">
        <v>25004462</v>
      </c>
      <c r="F280" s="2">
        <v>1</v>
      </c>
      <c r="G280" t="s">
        <v>1481</v>
      </c>
      <c r="H280" t="s">
        <v>1162</v>
      </c>
      <c r="I280" t="s">
        <v>1785</v>
      </c>
      <c r="J280" t="s">
        <v>1323</v>
      </c>
      <c r="K280" s="3">
        <v>1</v>
      </c>
      <c r="L280" s="4">
        <v>12</v>
      </c>
      <c r="O280" t="s">
        <v>2</v>
      </c>
      <c r="P280" t="s">
        <v>572</v>
      </c>
      <c r="Q280" s="2">
        <v>0</v>
      </c>
      <c r="R280" s="5">
        <v>12</v>
      </c>
      <c r="S280" s="5">
        <v>0</v>
      </c>
      <c r="T280" s="2">
        <v>12</v>
      </c>
      <c r="U280" t="s">
        <v>3</v>
      </c>
      <c r="V280" t="s">
        <v>137</v>
      </c>
      <c r="W280" s="5">
        <v>66.8</v>
      </c>
    </row>
    <row r="281" spans="1:23" ht="15" x14ac:dyDescent="0.2">
      <c r="A281" t="s">
        <v>1009</v>
      </c>
      <c r="B281" s="1">
        <f>45910</f>
        <v>45910</v>
      </c>
      <c r="C281" t="s">
        <v>0</v>
      </c>
      <c r="D281">
        <v>108108</v>
      </c>
      <c r="E281" s="2">
        <v>25004462</v>
      </c>
      <c r="F281" s="2">
        <v>2</v>
      </c>
      <c r="G281" t="s">
        <v>1482</v>
      </c>
      <c r="H281" t="s">
        <v>1163</v>
      </c>
      <c r="I281" t="s">
        <v>1785</v>
      </c>
      <c r="J281" t="s">
        <v>1323</v>
      </c>
      <c r="K281" s="3">
        <v>1</v>
      </c>
      <c r="L281" s="4">
        <v>32</v>
      </c>
      <c r="O281" t="s">
        <v>2</v>
      </c>
      <c r="P281" t="s">
        <v>572</v>
      </c>
      <c r="Q281" s="2">
        <v>0</v>
      </c>
      <c r="R281" s="5">
        <v>32</v>
      </c>
      <c r="S281" s="5">
        <v>0</v>
      </c>
      <c r="T281" s="2">
        <v>32</v>
      </c>
      <c r="U281" t="s">
        <v>3</v>
      </c>
      <c r="V281" t="s">
        <v>137</v>
      </c>
      <c r="W281" s="5">
        <v>66.8</v>
      </c>
    </row>
    <row r="282" spans="1:23" ht="15" x14ac:dyDescent="0.2">
      <c r="A282" t="s">
        <v>1009</v>
      </c>
      <c r="B282" s="1">
        <f>45910</f>
        <v>45910</v>
      </c>
      <c r="C282" t="s">
        <v>0</v>
      </c>
      <c r="D282">
        <v>108108</v>
      </c>
      <c r="E282" s="2">
        <v>25004462</v>
      </c>
      <c r="F282" s="2">
        <v>3</v>
      </c>
      <c r="G282" t="s">
        <v>1483</v>
      </c>
      <c r="H282" t="s">
        <v>1164</v>
      </c>
      <c r="I282" t="s">
        <v>1785</v>
      </c>
      <c r="J282" t="s">
        <v>1323</v>
      </c>
      <c r="K282" s="3">
        <v>1</v>
      </c>
      <c r="L282" s="4">
        <v>35.5</v>
      </c>
      <c r="O282" t="s">
        <v>2</v>
      </c>
      <c r="P282" t="s">
        <v>572</v>
      </c>
      <c r="Q282" s="2">
        <v>0</v>
      </c>
      <c r="R282" s="5">
        <v>35.5</v>
      </c>
      <c r="S282" s="5">
        <v>0</v>
      </c>
      <c r="T282" s="2">
        <v>36</v>
      </c>
      <c r="U282" t="s">
        <v>3</v>
      </c>
      <c r="V282" t="s">
        <v>137</v>
      </c>
      <c r="W282" s="5">
        <v>66.8</v>
      </c>
    </row>
    <row r="283" spans="1:23" ht="15" x14ac:dyDescent="0.2">
      <c r="A283" t="s">
        <v>1009</v>
      </c>
      <c r="B283" s="1">
        <f>45910</f>
        <v>45910</v>
      </c>
      <c r="C283" t="s">
        <v>0</v>
      </c>
      <c r="D283">
        <v>108108</v>
      </c>
      <c r="E283" s="2">
        <v>25004463</v>
      </c>
      <c r="F283" s="2">
        <v>1</v>
      </c>
      <c r="G283" t="s">
        <v>1484</v>
      </c>
      <c r="H283" t="s">
        <v>1165</v>
      </c>
      <c r="I283" t="s">
        <v>1772</v>
      </c>
      <c r="J283" t="s">
        <v>1323</v>
      </c>
      <c r="K283" s="3">
        <v>1</v>
      </c>
      <c r="L283" s="4">
        <v>30</v>
      </c>
      <c r="O283" t="s">
        <v>2</v>
      </c>
      <c r="P283" t="s">
        <v>573</v>
      </c>
      <c r="Q283" s="2">
        <v>0</v>
      </c>
      <c r="R283" s="5">
        <v>30</v>
      </c>
      <c r="S283" s="5">
        <v>0</v>
      </c>
      <c r="T283" s="2">
        <v>30</v>
      </c>
      <c r="U283" t="s">
        <v>3</v>
      </c>
      <c r="V283" t="s">
        <v>125</v>
      </c>
      <c r="W283" s="5">
        <v>25.21</v>
      </c>
    </row>
    <row r="284" spans="1:23" ht="15" x14ac:dyDescent="0.2">
      <c r="A284" t="s">
        <v>1009</v>
      </c>
      <c r="B284" s="1">
        <f>45910</f>
        <v>45910</v>
      </c>
      <c r="C284" t="s">
        <v>0</v>
      </c>
      <c r="D284">
        <v>108108</v>
      </c>
      <c r="E284" s="2">
        <v>25004464</v>
      </c>
      <c r="F284" s="2">
        <v>1</v>
      </c>
      <c r="G284" t="s">
        <v>1393</v>
      </c>
      <c r="H284" t="s">
        <v>1075</v>
      </c>
      <c r="I284" t="s">
        <v>1647</v>
      </c>
      <c r="J284" t="s">
        <v>1323</v>
      </c>
      <c r="K284" s="3">
        <v>1</v>
      </c>
      <c r="L284" s="4">
        <v>33</v>
      </c>
      <c r="O284" t="s">
        <v>2</v>
      </c>
      <c r="P284" t="s">
        <v>574</v>
      </c>
      <c r="Q284" s="2">
        <v>0</v>
      </c>
      <c r="R284" s="5">
        <v>33</v>
      </c>
      <c r="S284" s="5">
        <v>0</v>
      </c>
      <c r="T284" s="2">
        <v>33</v>
      </c>
      <c r="U284" t="s">
        <v>3</v>
      </c>
      <c r="V284" t="s">
        <v>1322</v>
      </c>
      <c r="W284" s="5">
        <v>27.73</v>
      </c>
    </row>
    <row r="285" spans="1:23" ht="15" x14ac:dyDescent="0.2">
      <c r="A285" t="s">
        <v>1009</v>
      </c>
      <c r="B285" s="1">
        <f>45910</f>
        <v>45910</v>
      </c>
      <c r="C285" t="s">
        <v>0</v>
      </c>
      <c r="D285">
        <v>108108</v>
      </c>
      <c r="E285" s="2">
        <v>25004465</v>
      </c>
      <c r="F285" s="2">
        <v>1</v>
      </c>
      <c r="G285" t="s">
        <v>1358</v>
      </c>
      <c r="H285" t="s">
        <v>1040</v>
      </c>
      <c r="I285" t="s">
        <v>1786</v>
      </c>
      <c r="J285" t="s">
        <v>1323</v>
      </c>
      <c r="K285" s="3">
        <v>1</v>
      </c>
      <c r="L285" s="4">
        <v>17.899999999999999</v>
      </c>
      <c r="O285" t="s">
        <v>2</v>
      </c>
      <c r="P285" t="s">
        <v>575</v>
      </c>
      <c r="Q285" s="2">
        <v>0</v>
      </c>
      <c r="R285" s="5">
        <v>17.899999999999999</v>
      </c>
      <c r="S285" s="5">
        <v>0</v>
      </c>
      <c r="T285" s="2">
        <v>18</v>
      </c>
      <c r="U285" t="s">
        <v>3</v>
      </c>
      <c r="V285" t="s">
        <v>138</v>
      </c>
      <c r="W285" s="5">
        <v>30.08</v>
      </c>
    </row>
    <row r="286" spans="1:23" ht="15" x14ac:dyDescent="0.2">
      <c r="A286" t="s">
        <v>1009</v>
      </c>
      <c r="B286" s="1">
        <f>45910</f>
        <v>45910</v>
      </c>
      <c r="C286" t="s">
        <v>0</v>
      </c>
      <c r="D286">
        <v>108108</v>
      </c>
      <c r="E286" s="2">
        <v>25004465</v>
      </c>
      <c r="F286" s="2">
        <v>2</v>
      </c>
      <c r="G286" t="s">
        <v>1358</v>
      </c>
      <c r="H286" t="s">
        <v>1040</v>
      </c>
      <c r="I286" t="s">
        <v>1786</v>
      </c>
      <c r="J286" t="s">
        <v>1323</v>
      </c>
      <c r="K286" s="3">
        <v>1</v>
      </c>
      <c r="L286" s="4">
        <v>17.899999999999999</v>
      </c>
      <c r="O286" t="s">
        <v>2</v>
      </c>
      <c r="P286" t="s">
        <v>575</v>
      </c>
      <c r="Q286" s="2">
        <v>0</v>
      </c>
      <c r="R286" s="5">
        <v>17.899999999999999</v>
      </c>
      <c r="S286" s="5">
        <v>0</v>
      </c>
      <c r="T286" s="2">
        <v>18</v>
      </c>
      <c r="U286" t="s">
        <v>3</v>
      </c>
      <c r="V286" t="s">
        <v>138</v>
      </c>
      <c r="W286" s="5">
        <v>30.08</v>
      </c>
    </row>
    <row r="287" spans="1:23" ht="15" x14ac:dyDescent="0.2">
      <c r="A287" t="s">
        <v>1009</v>
      </c>
      <c r="B287" s="1">
        <f>45910</f>
        <v>45910</v>
      </c>
      <c r="C287" t="s">
        <v>0</v>
      </c>
      <c r="D287">
        <v>108108</v>
      </c>
      <c r="E287" s="2">
        <v>25004466</v>
      </c>
      <c r="F287" s="2">
        <v>1</v>
      </c>
      <c r="G287" t="s">
        <v>1646</v>
      </c>
      <c r="H287" t="s">
        <v>361</v>
      </c>
      <c r="I287" t="s">
        <v>1647</v>
      </c>
      <c r="J287" t="s">
        <v>1323</v>
      </c>
      <c r="K287" s="3">
        <v>1</v>
      </c>
      <c r="L287" s="4">
        <v>-450</v>
      </c>
      <c r="Q287" s="2">
        <v>0</v>
      </c>
      <c r="R287" s="5">
        <v>-450</v>
      </c>
      <c r="S287" s="5">
        <v>0</v>
      </c>
      <c r="T287" s="2">
        <v>-450</v>
      </c>
      <c r="U287" t="s">
        <v>1</v>
      </c>
      <c r="V287" t="s">
        <v>361</v>
      </c>
      <c r="W287" s="5">
        <v>-450</v>
      </c>
    </row>
    <row r="288" spans="1:23" ht="15" x14ac:dyDescent="0.2">
      <c r="A288" t="s">
        <v>1009</v>
      </c>
      <c r="B288" s="1">
        <f>45911</f>
        <v>45911</v>
      </c>
      <c r="C288" t="s">
        <v>0</v>
      </c>
      <c r="D288">
        <v>108108</v>
      </c>
      <c r="E288" s="2">
        <v>25004467</v>
      </c>
      <c r="F288" s="2">
        <v>1</v>
      </c>
      <c r="G288" t="s">
        <v>1646</v>
      </c>
      <c r="H288" t="s">
        <v>361</v>
      </c>
      <c r="I288" t="s">
        <v>1647</v>
      </c>
      <c r="J288" t="s">
        <v>1326</v>
      </c>
      <c r="K288" s="3">
        <v>1</v>
      </c>
      <c r="L288" s="4">
        <v>450</v>
      </c>
      <c r="Q288" s="2">
        <v>0</v>
      </c>
      <c r="R288" s="5">
        <v>450</v>
      </c>
      <c r="S288" s="5">
        <v>0</v>
      </c>
      <c r="T288" s="2">
        <v>450</v>
      </c>
      <c r="U288" t="s">
        <v>1</v>
      </c>
      <c r="V288" t="s">
        <v>361</v>
      </c>
      <c r="W288" s="5">
        <v>450</v>
      </c>
    </row>
    <row r="289" spans="1:23" ht="15" x14ac:dyDescent="0.2">
      <c r="A289" t="s">
        <v>1009</v>
      </c>
      <c r="B289" s="1">
        <f>45911</f>
        <v>45911</v>
      </c>
      <c r="C289" t="s">
        <v>0</v>
      </c>
      <c r="D289">
        <v>108108</v>
      </c>
      <c r="E289" s="2">
        <v>25004468</v>
      </c>
      <c r="F289" s="2">
        <v>1</v>
      </c>
      <c r="G289" t="s">
        <v>1485</v>
      </c>
      <c r="H289" t="s">
        <v>1166</v>
      </c>
      <c r="I289" t="s">
        <v>1787</v>
      </c>
      <c r="J289" t="s">
        <v>1326</v>
      </c>
      <c r="K289" s="3">
        <v>1</v>
      </c>
      <c r="L289" s="4">
        <v>75</v>
      </c>
      <c r="O289" t="s">
        <v>2</v>
      </c>
      <c r="P289" t="s">
        <v>576</v>
      </c>
      <c r="Q289" s="2">
        <v>50</v>
      </c>
      <c r="R289" s="5">
        <v>150</v>
      </c>
      <c r="S289" s="5">
        <v>75</v>
      </c>
      <c r="T289" s="2">
        <v>75</v>
      </c>
      <c r="U289" t="s">
        <v>3</v>
      </c>
      <c r="V289" t="s">
        <v>139</v>
      </c>
      <c r="W289" s="5">
        <v>75.13</v>
      </c>
    </row>
    <row r="290" spans="1:23" ht="15" x14ac:dyDescent="0.2">
      <c r="A290" t="s">
        <v>1009</v>
      </c>
      <c r="B290" s="1">
        <f>45911</f>
        <v>45911</v>
      </c>
      <c r="C290" t="s">
        <v>0</v>
      </c>
      <c r="D290">
        <v>108108</v>
      </c>
      <c r="E290" s="2">
        <v>25004468</v>
      </c>
      <c r="F290" s="2">
        <v>2</v>
      </c>
      <c r="G290" t="s">
        <v>1486</v>
      </c>
      <c r="H290" t="s">
        <v>1167</v>
      </c>
      <c r="I290" t="s">
        <v>1787</v>
      </c>
      <c r="J290" t="s">
        <v>1326</v>
      </c>
      <c r="K290" s="3">
        <v>1</v>
      </c>
      <c r="L290" s="4">
        <v>14.4</v>
      </c>
      <c r="O290" t="s">
        <v>2</v>
      </c>
      <c r="P290" t="s">
        <v>576</v>
      </c>
      <c r="Q290" s="2">
        <v>20</v>
      </c>
      <c r="R290" s="5">
        <v>18</v>
      </c>
      <c r="S290" s="5">
        <v>3.6</v>
      </c>
      <c r="T290" s="2">
        <v>14</v>
      </c>
      <c r="U290" t="s">
        <v>3</v>
      </c>
      <c r="V290" t="s">
        <v>139</v>
      </c>
      <c r="W290" s="5">
        <v>75.13</v>
      </c>
    </row>
    <row r="291" spans="1:23" ht="15" x14ac:dyDescent="0.2">
      <c r="A291" t="s">
        <v>1009</v>
      </c>
      <c r="B291" s="1">
        <f>45911</f>
        <v>45911</v>
      </c>
      <c r="C291" t="s">
        <v>0</v>
      </c>
      <c r="D291">
        <v>108108</v>
      </c>
      <c r="E291" s="2">
        <v>25004469</v>
      </c>
      <c r="F291" s="2">
        <v>1</v>
      </c>
      <c r="G291" t="s">
        <v>1484</v>
      </c>
      <c r="H291" t="s">
        <v>1165</v>
      </c>
      <c r="I291" t="s">
        <v>1788</v>
      </c>
      <c r="J291" t="s">
        <v>1324</v>
      </c>
      <c r="K291" s="3">
        <v>1</v>
      </c>
      <c r="L291" s="4">
        <v>24</v>
      </c>
      <c r="O291" t="s">
        <v>2</v>
      </c>
      <c r="P291" t="s">
        <v>577</v>
      </c>
      <c r="Q291" s="2">
        <v>20</v>
      </c>
      <c r="R291" s="5">
        <v>30</v>
      </c>
      <c r="S291" s="5">
        <v>6</v>
      </c>
      <c r="T291" s="2">
        <v>24</v>
      </c>
      <c r="U291" t="s">
        <v>3</v>
      </c>
      <c r="V291" t="s">
        <v>140</v>
      </c>
      <c r="W291" s="5">
        <v>112.94</v>
      </c>
    </row>
    <row r="292" spans="1:23" ht="15" x14ac:dyDescent="0.2">
      <c r="A292" t="s">
        <v>1009</v>
      </c>
      <c r="B292" s="1">
        <f>45911</f>
        <v>45911</v>
      </c>
      <c r="C292" t="s">
        <v>0</v>
      </c>
      <c r="D292">
        <v>108108</v>
      </c>
      <c r="E292" s="2">
        <v>25004469</v>
      </c>
      <c r="F292" s="2">
        <v>2</v>
      </c>
      <c r="G292" t="s">
        <v>1487</v>
      </c>
      <c r="H292" t="s">
        <v>1168</v>
      </c>
      <c r="I292" t="s">
        <v>1788</v>
      </c>
      <c r="J292" t="s">
        <v>1324</v>
      </c>
      <c r="K292" s="3">
        <v>1</v>
      </c>
      <c r="L292" s="4">
        <v>110.4</v>
      </c>
      <c r="O292" t="s">
        <v>2</v>
      </c>
      <c r="P292" t="s">
        <v>577</v>
      </c>
      <c r="Q292" s="2">
        <v>20</v>
      </c>
      <c r="R292" s="5">
        <v>138</v>
      </c>
      <c r="S292" s="5">
        <v>27.6</v>
      </c>
      <c r="T292" s="2">
        <v>110</v>
      </c>
      <c r="U292" t="s">
        <v>3</v>
      </c>
      <c r="V292" t="s">
        <v>140</v>
      </c>
      <c r="W292" s="5">
        <v>112.94</v>
      </c>
    </row>
    <row r="293" spans="1:23" ht="15" x14ac:dyDescent="0.2">
      <c r="A293" t="s">
        <v>1009</v>
      </c>
      <c r="B293" s="1">
        <f>45911</f>
        <v>45911</v>
      </c>
      <c r="C293" t="s">
        <v>0</v>
      </c>
      <c r="D293">
        <v>108108</v>
      </c>
      <c r="E293" s="2">
        <v>25004470</v>
      </c>
      <c r="F293" s="2">
        <v>1</v>
      </c>
      <c r="G293" t="s">
        <v>1488</v>
      </c>
      <c r="H293" t="s">
        <v>1169</v>
      </c>
      <c r="I293" t="s">
        <v>1647</v>
      </c>
      <c r="J293" t="s">
        <v>1324</v>
      </c>
      <c r="K293" s="3">
        <v>1</v>
      </c>
      <c r="L293" s="4">
        <v>17.899999999999999</v>
      </c>
      <c r="O293" t="s">
        <v>2</v>
      </c>
      <c r="P293" t="s">
        <v>578</v>
      </c>
      <c r="Q293" s="2">
        <v>0</v>
      </c>
      <c r="R293" s="5">
        <v>17.899999999999999</v>
      </c>
      <c r="S293" s="5">
        <v>0</v>
      </c>
      <c r="T293" s="2">
        <v>18</v>
      </c>
      <c r="U293" t="s">
        <v>3</v>
      </c>
      <c r="V293" t="s">
        <v>1322</v>
      </c>
      <c r="W293" s="5">
        <v>23.86</v>
      </c>
    </row>
    <row r="294" spans="1:23" ht="15" x14ac:dyDescent="0.2">
      <c r="A294" t="s">
        <v>1009</v>
      </c>
      <c r="B294" s="1">
        <f>45911</f>
        <v>45911</v>
      </c>
      <c r="C294" t="s">
        <v>0</v>
      </c>
      <c r="D294">
        <v>108108</v>
      </c>
      <c r="E294" s="2">
        <v>25004470</v>
      </c>
      <c r="F294" s="2">
        <v>2</v>
      </c>
      <c r="G294" t="s">
        <v>1449</v>
      </c>
      <c r="H294" t="s">
        <v>1131</v>
      </c>
      <c r="I294" t="s">
        <v>1647</v>
      </c>
      <c r="J294" t="s">
        <v>1324</v>
      </c>
      <c r="K294" s="3">
        <v>1</v>
      </c>
      <c r="L294" s="4">
        <v>10.5</v>
      </c>
      <c r="O294" t="s">
        <v>2</v>
      </c>
      <c r="P294" t="s">
        <v>578</v>
      </c>
      <c r="Q294" s="2">
        <v>0</v>
      </c>
      <c r="R294" s="5">
        <v>10.5</v>
      </c>
      <c r="S294" s="5">
        <v>0</v>
      </c>
      <c r="T294" s="2">
        <v>11</v>
      </c>
      <c r="U294" t="s">
        <v>3</v>
      </c>
      <c r="V294" t="s">
        <v>1322</v>
      </c>
      <c r="W294" s="5">
        <v>23.86</v>
      </c>
    </row>
    <row r="295" spans="1:23" ht="15" x14ac:dyDescent="0.2">
      <c r="A295" t="s">
        <v>1009</v>
      </c>
      <c r="B295" s="1">
        <f>45911</f>
        <v>45911</v>
      </c>
      <c r="C295" t="s">
        <v>0</v>
      </c>
      <c r="D295">
        <v>108108</v>
      </c>
      <c r="E295" s="2">
        <v>25004471</v>
      </c>
      <c r="F295" s="2">
        <v>1</v>
      </c>
      <c r="G295" t="s">
        <v>1489</v>
      </c>
      <c r="H295" t="s">
        <v>1170</v>
      </c>
      <c r="I295" t="s">
        <v>1789</v>
      </c>
      <c r="J295" t="s">
        <v>1326</v>
      </c>
      <c r="K295" s="3">
        <v>1</v>
      </c>
      <c r="L295" s="4">
        <v>85</v>
      </c>
      <c r="O295" t="s">
        <v>2</v>
      </c>
      <c r="P295" t="s">
        <v>579</v>
      </c>
      <c r="Q295" s="2">
        <v>50</v>
      </c>
      <c r="R295" s="5">
        <v>170</v>
      </c>
      <c r="S295" s="5">
        <v>85</v>
      </c>
      <c r="T295" s="2">
        <v>85</v>
      </c>
      <c r="U295" t="s">
        <v>3</v>
      </c>
      <c r="V295" t="s">
        <v>141</v>
      </c>
      <c r="W295" s="5">
        <v>71.430000000000007</v>
      </c>
    </row>
    <row r="296" spans="1:23" ht="15" x14ac:dyDescent="0.2">
      <c r="A296" t="s">
        <v>1009</v>
      </c>
      <c r="B296" s="1">
        <f>45911</f>
        <v>45911</v>
      </c>
      <c r="C296" t="s">
        <v>0</v>
      </c>
      <c r="D296">
        <v>108108</v>
      </c>
      <c r="E296" s="2">
        <v>25004472</v>
      </c>
      <c r="F296" s="2">
        <v>1</v>
      </c>
      <c r="G296" t="s">
        <v>1490</v>
      </c>
      <c r="H296" t="s">
        <v>1171</v>
      </c>
      <c r="I296" t="s">
        <v>1647</v>
      </c>
      <c r="J296" t="s">
        <v>1323</v>
      </c>
      <c r="K296" s="3">
        <v>1</v>
      </c>
      <c r="L296" s="4">
        <v>22.9</v>
      </c>
      <c r="O296" t="s">
        <v>2</v>
      </c>
      <c r="P296" t="s">
        <v>580</v>
      </c>
      <c r="Q296" s="2">
        <v>0</v>
      </c>
      <c r="R296" s="5">
        <v>22.9</v>
      </c>
      <c r="S296" s="5">
        <v>0</v>
      </c>
      <c r="T296" s="2">
        <v>23</v>
      </c>
      <c r="U296" t="s">
        <v>3</v>
      </c>
      <c r="V296" t="s">
        <v>1322</v>
      </c>
      <c r="W296" s="5">
        <v>19.239999999999998</v>
      </c>
    </row>
    <row r="297" spans="1:23" ht="15" x14ac:dyDescent="0.2">
      <c r="A297" t="s">
        <v>1009</v>
      </c>
      <c r="B297" s="1">
        <f>45911</f>
        <v>45911</v>
      </c>
      <c r="C297" t="s">
        <v>0</v>
      </c>
      <c r="D297">
        <v>108108</v>
      </c>
      <c r="E297" s="2">
        <v>25004473</v>
      </c>
      <c r="F297" s="2">
        <v>1</v>
      </c>
      <c r="G297" t="s">
        <v>1491</v>
      </c>
      <c r="H297" t="s">
        <v>1172</v>
      </c>
      <c r="I297" t="s">
        <v>1658</v>
      </c>
      <c r="J297" t="s">
        <v>1323</v>
      </c>
      <c r="K297" s="3">
        <v>1</v>
      </c>
      <c r="L297" s="4">
        <v>28.9</v>
      </c>
      <c r="O297" t="s">
        <v>2</v>
      </c>
      <c r="P297" t="s">
        <v>581</v>
      </c>
      <c r="Q297" s="2">
        <v>0</v>
      </c>
      <c r="R297" s="5">
        <v>28.9</v>
      </c>
      <c r="S297" s="5">
        <v>0</v>
      </c>
      <c r="T297" s="2">
        <v>29</v>
      </c>
      <c r="U297" t="s">
        <v>3</v>
      </c>
      <c r="V297" t="s">
        <v>14</v>
      </c>
      <c r="W297" s="5">
        <v>24.29</v>
      </c>
    </row>
    <row r="298" spans="1:23" ht="15" x14ac:dyDescent="0.2">
      <c r="A298" t="s">
        <v>1009</v>
      </c>
      <c r="B298" s="1">
        <f>45911</f>
        <v>45911</v>
      </c>
      <c r="C298" t="s">
        <v>0</v>
      </c>
      <c r="D298">
        <v>108108</v>
      </c>
      <c r="E298" s="2">
        <v>25004474</v>
      </c>
      <c r="F298" s="2">
        <v>1</v>
      </c>
      <c r="G298" t="s">
        <v>1492</v>
      </c>
      <c r="H298" t="s">
        <v>1173</v>
      </c>
      <c r="I298" t="s">
        <v>1790</v>
      </c>
      <c r="J298" t="s">
        <v>1326</v>
      </c>
      <c r="K298" s="3">
        <v>1</v>
      </c>
      <c r="L298" s="4">
        <v>5.4</v>
      </c>
      <c r="O298" t="s">
        <v>2</v>
      </c>
      <c r="P298" t="s">
        <v>582</v>
      </c>
      <c r="Q298" s="2">
        <v>10</v>
      </c>
      <c r="R298" s="5">
        <v>6</v>
      </c>
      <c r="S298" s="5">
        <v>0.6</v>
      </c>
      <c r="T298" s="2">
        <v>5</v>
      </c>
      <c r="U298" t="s">
        <v>3</v>
      </c>
      <c r="V298" t="s">
        <v>142</v>
      </c>
      <c r="W298" s="5">
        <v>27.15</v>
      </c>
    </row>
    <row r="299" spans="1:23" ht="15" x14ac:dyDescent="0.2">
      <c r="A299" t="s">
        <v>1009</v>
      </c>
      <c r="B299" s="1">
        <f>45911</f>
        <v>45911</v>
      </c>
      <c r="C299" t="s">
        <v>0</v>
      </c>
      <c r="D299">
        <v>108108</v>
      </c>
      <c r="E299" s="2">
        <v>25004474</v>
      </c>
      <c r="F299" s="2">
        <v>2</v>
      </c>
      <c r="G299" t="s">
        <v>1493</v>
      </c>
      <c r="H299" t="s">
        <v>1174</v>
      </c>
      <c r="I299" t="s">
        <v>1790</v>
      </c>
      <c r="J299" t="s">
        <v>1326</v>
      </c>
      <c r="K299" s="3">
        <v>1</v>
      </c>
      <c r="L299" s="4">
        <v>26.9</v>
      </c>
      <c r="O299" t="s">
        <v>2</v>
      </c>
      <c r="P299" t="s">
        <v>582</v>
      </c>
      <c r="Q299" s="2">
        <v>10</v>
      </c>
      <c r="R299" s="5">
        <v>29.9</v>
      </c>
      <c r="S299" s="5">
        <v>3</v>
      </c>
      <c r="T299" s="2">
        <v>27</v>
      </c>
      <c r="U299" t="s">
        <v>3</v>
      </c>
      <c r="V299" t="s">
        <v>142</v>
      </c>
      <c r="W299" s="5">
        <v>27.15</v>
      </c>
    </row>
    <row r="300" spans="1:23" ht="15" x14ac:dyDescent="0.2">
      <c r="A300" t="s">
        <v>1009</v>
      </c>
      <c r="B300" s="1">
        <f>45911</f>
        <v>45911</v>
      </c>
      <c r="C300" t="s">
        <v>0</v>
      </c>
      <c r="D300">
        <v>108108</v>
      </c>
      <c r="E300" s="2">
        <v>25004475</v>
      </c>
      <c r="F300" s="2">
        <v>1</v>
      </c>
      <c r="G300" t="s">
        <v>1433</v>
      </c>
      <c r="H300" t="s">
        <v>1115</v>
      </c>
      <c r="I300" t="s">
        <v>1791</v>
      </c>
      <c r="J300" t="s">
        <v>1326</v>
      </c>
      <c r="K300" s="3">
        <v>1</v>
      </c>
      <c r="L300" s="4">
        <v>29.9</v>
      </c>
      <c r="O300" t="s">
        <v>2</v>
      </c>
      <c r="P300" t="s">
        <v>583</v>
      </c>
      <c r="Q300" s="2">
        <v>0</v>
      </c>
      <c r="R300" s="5">
        <v>29.9</v>
      </c>
      <c r="S300" s="5">
        <v>0</v>
      </c>
      <c r="T300" s="2">
        <v>30</v>
      </c>
      <c r="U300" t="s">
        <v>3</v>
      </c>
      <c r="V300" t="s">
        <v>143</v>
      </c>
      <c r="W300" s="5">
        <v>48.58</v>
      </c>
    </row>
    <row r="301" spans="1:23" ht="15" x14ac:dyDescent="0.2">
      <c r="A301" t="s">
        <v>1009</v>
      </c>
      <c r="B301" s="1">
        <f>45911</f>
        <v>45911</v>
      </c>
      <c r="C301" t="s">
        <v>0</v>
      </c>
      <c r="D301">
        <v>108108</v>
      </c>
      <c r="E301" s="2">
        <v>25004475</v>
      </c>
      <c r="F301" s="2">
        <v>2</v>
      </c>
      <c r="G301" t="s">
        <v>1340</v>
      </c>
      <c r="H301" t="s">
        <v>1022</v>
      </c>
      <c r="I301" t="s">
        <v>1791</v>
      </c>
      <c r="J301" t="s">
        <v>1326</v>
      </c>
      <c r="K301" s="3">
        <v>1</v>
      </c>
      <c r="L301" s="4">
        <v>27.9</v>
      </c>
      <c r="O301" t="s">
        <v>2</v>
      </c>
      <c r="P301" t="s">
        <v>583</v>
      </c>
      <c r="Q301" s="2">
        <v>0</v>
      </c>
      <c r="R301" s="5">
        <v>27.9</v>
      </c>
      <c r="S301" s="5">
        <v>0</v>
      </c>
      <c r="T301" s="2">
        <v>28</v>
      </c>
      <c r="U301" t="s">
        <v>3</v>
      </c>
      <c r="V301" t="s">
        <v>143</v>
      </c>
      <c r="W301" s="5">
        <v>48.58</v>
      </c>
    </row>
    <row r="302" spans="1:23" ht="15" x14ac:dyDescent="0.2">
      <c r="A302" t="s">
        <v>1009</v>
      </c>
      <c r="B302" s="1">
        <f>45911</f>
        <v>45911</v>
      </c>
      <c r="C302" t="s">
        <v>0</v>
      </c>
      <c r="D302">
        <v>108108</v>
      </c>
      <c r="E302" s="2">
        <v>25004476</v>
      </c>
      <c r="F302" s="2">
        <v>1</v>
      </c>
      <c r="G302" t="s">
        <v>1452</v>
      </c>
      <c r="H302" t="s">
        <v>1134</v>
      </c>
      <c r="I302" t="s">
        <v>1792</v>
      </c>
      <c r="J302" t="s">
        <v>1326</v>
      </c>
      <c r="K302" s="3">
        <v>1</v>
      </c>
      <c r="L302" s="4">
        <v>24.9</v>
      </c>
      <c r="O302" t="s">
        <v>2</v>
      </c>
      <c r="P302" t="s">
        <v>584</v>
      </c>
      <c r="Q302" s="2">
        <v>0</v>
      </c>
      <c r="R302" s="5">
        <v>24.9</v>
      </c>
      <c r="S302" s="5">
        <v>0</v>
      </c>
      <c r="T302" s="2">
        <v>25</v>
      </c>
      <c r="U302" t="s">
        <v>3</v>
      </c>
      <c r="V302" t="s">
        <v>144</v>
      </c>
      <c r="W302" s="5">
        <v>20.92</v>
      </c>
    </row>
    <row r="303" spans="1:23" ht="15" x14ac:dyDescent="0.2">
      <c r="A303" t="s">
        <v>1009</v>
      </c>
      <c r="B303" s="1">
        <f>45911</f>
        <v>45911</v>
      </c>
      <c r="C303" t="s">
        <v>0</v>
      </c>
      <c r="D303">
        <v>108108</v>
      </c>
      <c r="E303" s="2">
        <v>25004477</v>
      </c>
      <c r="F303" s="2">
        <v>1</v>
      </c>
      <c r="G303" t="s">
        <v>1494</v>
      </c>
      <c r="H303" t="s">
        <v>1175</v>
      </c>
      <c r="I303" t="s">
        <v>1793</v>
      </c>
      <c r="J303" t="s">
        <v>1326</v>
      </c>
      <c r="K303" s="3">
        <v>1</v>
      </c>
      <c r="L303" s="4">
        <v>33.5</v>
      </c>
      <c r="O303" t="s">
        <v>2</v>
      </c>
      <c r="P303" t="s">
        <v>585</v>
      </c>
      <c r="Q303" s="2">
        <v>0</v>
      </c>
      <c r="R303" s="5">
        <v>33.5</v>
      </c>
      <c r="S303" s="5">
        <v>0</v>
      </c>
      <c r="T303" s="2">
        <v>34</v>
      </c>
      <c r="U303" t="s">
        <v>3</v>
      </c>
      <c r="V303" t="s">
        <v>145</v>
      </c>
      <c r="W303" s="5">
        <v>28.15</v>
      </c>
    </row>
    <row r="304" spans="1:23" ht="15" x14ac:dyDescent="0.2">
      <c r="A304" t="s">
        <v>1009</v>
      </c>
      <c r="B304" s="1">
        <f>45911</f>
        <v>45911</v>
      </c>
      <c r="C304" t="s">
        <v>0</v>
      </c>
      <c r="D304">
        <v>108108</v>
      </c>
      <c r="E304" s="2">
        <v>25004478</v>
      </c>
      <c r="F304" s="2">
        <v>1</v>
      </c>
      <c r="G304" t="s">
        <v>1495</v>
      </c>
      <c r="H304" t="s">
        <v>1176</v>
      </c>
      <c r="I304" t="s">
        <v>1794</v>
      </c>
      <c r="J304" t="s">
        <v>1323</v>
      </c>
      <c r="K304" s="3">
        <v>1</v>
      </c>
      <c r="L304" s="4">
        <v>30</v>
      </c>
      <c r="O304" t="s">
        <v>2</v>
      </c>
      <c r="P304" t="s">
        <v>586</v>
      </c>
      <c r="Q304" s="2">
        <v>50</v>
      </c>
      <c r="R304" s="5">
        <v>60</v>
      </c>
      <c r="S304" s="5">
        <v>30</v>
      </c>
      <c r="T304" s="2">
        <v>30</v>
      </c>
      <c r="U304" t="s">
        <v>3</v>
      </c>
      <c r="V304" t="s">
        <v>146</v>
      </c>
      <c r="W304" s="5">
        <v>25.21</v>
      </c>
    </row>
    <row r="305" spans="1:23" ht="15" x14ac:dyDescent="0.2">
      <c r="A305" t="s">
        <v>1009</v>
      </c>
      <c r="B305" s="1">
        <f>45911</f>
        <v>45911</v>
      </c>
      <c r="C305" t="s">
        <v>0</v>
      </c>
      <c r="D305">
        <v>108108</v>
      </c>
      <c r="E305" s="2">
        <v>25004479</v>
      </c>
      <c r="F305" s="2">
        <v>1</v>
      </c>
      <c r="G305" t="s">
        <v>1431</v>
      </c>
      <c r="H305" t="s">
        <v>1113</v>
      </c>
      <c r="I305" t="s">
        <v>1795</v>
      </c>
      <c r="J305" t="s">
        <v>1323</v>
      </c>
      <c r="K305" s="3">
        <v>1</v>
      </c>
      <c r="L305" s="4">
        <v>22.9</v>
      </c>
      <c r="O305" t="s">
        <v>2</v>
      </c>
      <c r="P305" t="s">
        <v>587</v>
      </c>
      <c r="Q305" s="2">
        <v>0</v>
      </c>
      <c r="R305" s="5">
        <v>22.9</v>
      </c>
      <c r="S305" s="5">
        <v>0</v>
      </c>
      <c r="T305" s="2">
        <v>23</v>
      </c>
      <c r="U305" t="s">
        <v>3</v>
      </c>
      <c r="V305" t="s">
        <v>147</v>
      </c>
      <c r="W305" s="5">
        <v>23.44</v>
      </c>
    </row>
    <row r="306" spans="1:23" ht="15" x14ac:dyDescent="0.2">
      <c r="A306" t="s">
        <v>1009</v>
      </c>
      <c r="B306" s="1">
        <f>45911</f>
        <v>45911</v>
      </c>
      <c r="C306" t="s">
        <v>0</v>
      </c>
      <c r="D306">
        <v>108108</v>
      </c>
      <c r="E306" s="2">
        <v>25004479</v>
      </c>
      <c r="F306" s="2">
        <v>2</v>
      </c>
      <c r="G306" t="s">
        <v>1332</v>
      </c>
      <c r="H306" t="s">
        <v>362</v>
      </c>
      <c r="I306" t="s">
        <v>1795</v>
      </c>
      <c r="J306" t="s">
        <v>1323</v>
      </c>
      <c r="K306" s="3">
        <v>1</v>
      </c>
      <c r="L306" s="4">
        <v>5</v>
      </c>
      <c r="O306" t="s">
        <v>2</v>
      </c>
      <c r="P306" t="s">
        <v>587</v>
      </c>
      <c r="Q306" s="2">
        <v>0</v>
      </c>
      <c r="R306" s="5">
        <v>5</v>
      </c>
      <c r="S306" s="5">
        <v>0</v>
      </c>
      <c r="T306" s="2">
        <v>5</v>
      </c>
      <c r="U306" t="s">
        <v>3</v>
      </c>
      <c r="V306" t="s">
        <v>147</v>
      </c>
      <c r="W306" s="5">
        <v>23.44</v>
      </c>
    </row>
    <row r="307" spans="1:23" ht="15" x14ac:dyDescent="0.2">
      <c r="A307" t="s">
        <v>1009</v>
      </c>
      <c r="B307" s="1">
        <f>45911</f>
        <v>45911</v>
      </c>
      <c r="C307" t="s">
        <v>0</v>
      </c>
      <c r="D307">
        <v>108108</v>
      </c>
      <c r="E307" s="2">
        <v>25004480</v>
      </c>
      <c r="F307" s="2">
        <v>1</v>
      </c>
      <c r="G307" t="s">
        <v>1330</v>
      </c>
      <c r="H307" t="s">
        <v>1013</v>
      </c>
      <c r="I307" t="s">
        <v>1647</v>
      </c>
      <c r="J307" t="s">
        <v>1323</v>
      </c>
      <c r="K307" s="3">
        <v>1</v>
      </c>
      <c r="L307" s="4">
        <v>21.9</v>
      </c>
      <c r="O307" t="s">
        <v>2</v>
      </c>
      <c r="P307" t="s">
        <v>588</v>
      </c>
      <c r="Q307" s="2">
        <v>0</v>
      </c>
      <c r="R307" s="5">
        <v>21.9</v>
      </c>
      <c r="S307" s="5">
        <v>0</v>
      </c>
      <c r="T307" s="2">
        <v>22</v>
      </c>
      <c r="U307" t="s">
        <v>3</v>
      </c>
      <c r="V307" t="s">
        <v>1322</v>
      </c>
      <c r="W307" s="5">
        <v>18.399999999999999</v>
      </c>
    </row>
    <row r="308" spans="1:23" ht="15" x14ac:dyDescent="0.2">
      <c r="A308" t="s">
        <v>1009</v>
      </c>
      <c r="B308" s="1">
        <f>45911</f>
        <v>45911</v>
      </c>
      <c r="C308" t="s">
        <v>0</v>
      </c>
      <c r="D308">
        <v>108108</v>
      </c>
      <c r="E308" s="2">
        <v>25004481</v>
      </c>
      <c r="F308" s="2">
        <v>1</v>
      </c>
      <c r="G308" t="s">
        <v>1496</v>
      </c>
      <c r="H308" t="s">
        <v>1177</v>
      </c>
      <c r="I308" t="s">
        <v>1647</v>
      </c>
      <c r="J308" t="s">
        <v>1323</v>
      </c>
      <c r="K308" s="3">
        <v>1</v>
      </c>
      <c r="L308" s="4">
        <v>16.899999999999999</v>
      </c>
      <c r="O308" t="s">
        <v>2</v>
      </c>
      <c r="P308" t="s">
        <v>589</v>
      </c>
      <c r="Q308" s="2">
        <v>0</v>
      </c>
      <c r="R308" s="5">
        <v>16.899999999999999</v>
      </c>
      <c r="S308" s="5">
        <v>0</v>
      </c>
      <c r="T308" s="2">
        <v>17</v>
      </c>
      <c r="U308" t="s">
        <v>3</v>
      </c>
      <c r="V308" t="s">
        <v>1322</v>
      </c>
      <c r="W308" s="5">
        <v>14.2</v>
      </c>
    </row>
    <row r="309" spans="1:23" ht="15" x14ac:dyDescent="0.2">
      <c r="A309" t="s">
        <v>1009</v>
      </c>
      <c r="B309" s="1">
        <f>45911</f>
        <v>45911</v>
      </c>
      <c r="C309" t="s">
        <v>0</v>
      </c>
      <c r="D309">
        <v>108108</v>
      </c>
      <c r="E309" s="2">
        <v>25004482</v>
      </c>
      <c r="F309" s="2">
        <v>1</v>
      </c>
      <c r="G309" t="s">
        <v>1456</v>
      </c>
      <c r="H309" t="s">
        <v>1138</v>
      </c>
      <c r="I309" t="s">
        <v>1726</v>
      </c>
      <c r="J309" t="s">
        <v>1323</v>
      </c>
      <c r="K309" s="3">
        <v>1</v>
      </c>
      <c r="L309" s="4">
        <v>24.9</v>
      </c>
      <c r="O309" t="s">
        <v>2</v>
      </c>
      <c r="P309" t="s">
        <v>590</v>
      </c>
      <c r="Q309" s="2">
        <v>0</v>
      </c>
      <c r="R309" s="5">
        <v>24.9</v>
      </c>
      <c r="S309" s="5">
        <v>0</v>
      </c>
      <c r="T309" s="2">
        <v>25</v>
      </c>
      <c r="U309" t="s">
        <v>3</v>
      </c>
      <c r="V309" t="s">
        <v>82</v>
      </c>
      <c r="W309" s="5">
        <v>20.92</v>
      </c>
    </row>
    <row r="310" spans="1:23" ht="15" x14ac:dyDescent="0.2">
      <c r="A310" t="s">
        <v>1009</v>
      </c>
      <c r="B310" s="1">
        <f>45911</f>
        <v>45911</v>
      </c>
      <c r="C310" t="s">
        <v>0</v>
      </c>
      <c r="D310">
        <v>108108</v>
      </c>
      <c r="E310" s="2">
        <v>25004483</v>
      </c>
      <c r="F310" s="2">
        <v>1</v>
      </c>
      <c r="G310" t="s">
        <v>1497</v>
      </c>
      <c r="H310" t="s">
        <v>1178</v>
      </c>
      <c r="I310" t="s">
        <v>1796</v>
      </c>
      <c r="J310" t="s">
        <v>1323</v>
      </c>
      <c r="K310" s="3">
        <v>1</v>
      </c>
      <c r="L310" s="4">
        <v>75</v>
      </c>
      <c r="O310" t="s">
        <v>2</v>
      </c>
      <c r="P310" t="s">
        <v>591</v>
      </c>
      <c r="Q310" s="2">
        <v>50</v>
      </c>
      <c r="R310" s="5">
        <v>150</v>
      </c>
      <c r="S310" s="5">
        <v>75</v>
      </c>
      <c r="T310" s="2">
        <v>75</v>
      </c>
      <c r="U310" t="s">
        <v>3</v>
      </c>
      <c r="V310" t="s">
        <v>148</v>
      </c>
      <c r="W310" s="5">
        <v>63.03</v>
      </c>
    </row>
    <row r="311" spans="1:23" ht="15" x14ac:dyDescent="0.2">
      <c r="A311" t="s">
        <v>1009</v>
      </c>
      <c r="B311" s="1">
        <f>45911</f>
        <v>45911</v>
      </c>
      <c r="C311" t="s">
        <v>0</v>
      </c>
      <c r="D311">
        <v>108108</v>
      </c>
      <c r="E311" s="2">
        <v>25004484</v>
      </c>
      <c r="F311" s="2">
        <v>1</v>
      </c>
      <c r="G311" t="s">
        <v>1498</v>
      </c>
      <c r="H311" t="s">
        <v>1179</v>
      </c>
      <c r="I311" t="s">
        <v>1649</v>
      </c>
      <c r="J311" t="s">
        <v>1323</v>
      </c>
      <c r="K311" s="3">
        <v>1</v>
      </c>
      <c r="L311" s="4">
        <v>25</v>
      </c>
      <c r="O311" t="s">
        <v>2</v>
      </c>
      <c r="P311" t="s">
        <v>592</v>
      </c>
      <c r="Q311" s="2">
        <v>0</v>
      </c>
      <c r="R311" s="5">
        <v>25</v>
      </c>
      <c r="S311" s="5">
        <v>0</v>
      </c>
      <c r="T311" s="2">
        <v>25</v>
      </c>
      <c r="U311" t="s">
        <v>3</v>
      </c>
      <c r="V311" t="s">
        <v>5</v>
      </c>
      <c r="W311" s="5">
        <v>21.01</v>
      </c>
    </row>
    <row r="312" spans="1:23" ht="15" x14ac:dyDescent="0.2">
      <c r="A312" t="s">
        <v>1009</v>
      </c>
      <c r="B312" s="1">
        <f>45911</f>
        <v>45911</v>
      </c>
      <c r="C312" t="s">
        <v>0</v>
      </c>
      <c r="D312">
        <v>108108</v>
      </c>
      <c r="E312" s="2">
        <v>25004485</v>
      </c>
      <c r="F312" s="2">
        <v>1</v>
      </c>
      <c r="G312" t="s">
        <v>1646</v>
      </c>
      <c r="H312" t="s">
        <v>361</v>
      </c>
      <c r="I312" t="s">
        <v>1647</v>
      </c>
      <c r="J312" t="s">
        <v>1323</v>
      </c>
      <c r="K312" s="3">
        <v>1</v>
      </c>
      <c r="L312" s="4">
        <v>-450</v>
      </c>
      <c r="Q312" s="2">
        <v>0</v>
      </c>
      <c r="R312" s="5">
        <v>-450</v>
      </c>
      <c r="S312" s="5">
        <v>0</v>
      </c>
      <c r="T312" s="2">
        <v>-450</v>
      </c>
      <c r="U312" t="s">
        <v>1</v>
      </c>
      <c r="V312" t="s">
        <v>361</v>
      </c>
      <c r="W312" s="5">
        <v>-450</v>
      </c>
    </row>
    <row r="313" spans="1:23" ht="15" x14ac:dyDescent="0.2">
      <c r="A313" t="s">
        <v>1009</v>
      </c>
      <c r="B313" s="1">
        <f>45912</f>
        <v>45912</v>
      </c>
      <c r="C313" t="s">
        <v>0</v>
      </c>
      <c r="D313">
        <v>108108</v>
      </c>
      <c r="E313" s="2">
        <v>25004486</v>
      </c>
      <c r="F313" s="2">
        <v>1</v>
      </c>
      <c r="G313" t="s">
        <v>1646</v>
      </c>
      <c r="H313" t="s">
        <v>361</v>
      </c>
      <c r="I313" t="s">
        <v>1647</v>
      </c>
      <c r="J313" t="s">
        <v>1325</v>
      </c>
      <c r="K313" s="3">
        <v>1</v>
      </c>
      <c r="L313" s="4">
        <v>450</v>
      </c>
      <c r="Q313" s="2">
        <v>0</v>
      </c>
      <c r="R313" s="5">
        <v>450</v>
      </c>
      <c r="S313" s="5">
        <v>0</v>
      </c>
      <c r="T313" s="2">
        <v>450</v>
      </c>
      <c r="U313" t="s">
        <v>1</v>
      </c>
      <c r="V313" t="s">
        <v>361</v>
      </c>
      <c r="W313" s="5">
        <v>450</v>
      </c>
    </row>
    <row r="314" spans="1:23" ht="15" x14ac:dyDescent="0.2">
      <c r="A314" t="s">
        <v>1009</v>
      </c>
      <c r="B314" s="1">
        <f>45912</f>
        <v>45912</v>
      </c>
      <c r="C314" t="s">
        <v>0</v>
      </c>
      <c r="D314">
        <v>108108</v>
      </c>
      <c r="E314" s="2">
        <v>25004487</v>
      </c>
      <c r="F314" s="2">
        <v>1</v>
      </c>
      <c r="G314" t="s">
        <v>1393</v>
      </c>
      <c r="H314" t="s">
        <v>1075</v>
      </c>
      <c r="I314" t="s">
        <v>1797</v>
      </c>
      <c r="J314" t="s">
        <v>1325</v>
      </c>
      <c r="K314" s="3">
        <v>1</v>
      </c>
      <c r="L314" s="4">
        <v>26.4</v>
      </c>
      <c r="O314" t="s">
        <v>2</v>
      </c>
      <c r="P314" t="s">
        <v>593</v>
      </c>
      <c r="Q314" s="2">
        <v>20</v>
      </c>
      <c r="R314" s="5">
        <v>33</v>
      </c>
      <c r="S314" s="5">
        <v>6.6</v>
      </c>
      <c r="T314" s="2">
        <v>26</v>
      </c>
      <c r="U314" t="s">
        <v>3</v>
      </c>
      <c r="V314" t="s">
        <v>149</v>
      </c>
      <c r="W314" s="5">
        <v>65.2</v>
      </c>
    </row>
    <row r="315" spans="1:23" ht="15" x14ac:dyDescent="0.2">
      <c r="A315" t="s">
        <v>1009</v>
      </c>
      <c r="B315" s="1">
        <f>45912</f>
        <v>45912</v>
      </c>
      <c r="C315" t="s">
        <v>0</v>
      </c>
      <c r="D315">
        <v>108108</v>
      </c>
      <c r="E315" s="2">
        <v>25004487</v>
      </c>
      <c r="F315" s="2">
        <v>2</v>
      </c>
      <c r="G315" t="s">
        <v>1363</v>
      </c>
      <c r="H315" t="s">
        <v>1045</v>
      </c>
      <c r="I315" t="s">
        <v>1797</v>
      </c>
      <c r="J315" t="s">
        <v>1325</v>
      </c>
      <c r="K315" s="3">
        <v>1</v>
      </c>
      <c r="L315" s="4">
        <v>25.6</v>
      </c>
      <c r="O315" t="s">
        <v>2</v>
      </c>
      <c r="P315" t="s">
        <v>593</v>
      </c>
      <c r="Q315" s="2">
        <v>20</v>
      </c>
      <c r="R315" s="5">
        <v>32</v>
      </c>
      <c r="S315" s="5">
        <v>6.4</v>
      </c>
      <c r="T315" s="2">
        <v>26</v>
      </c>
      <c r="U315" t="s">
        <v>3</v>
      </c>
      <c r="V315" t="s">
        <v>149</v>
      </c>
      <c r="W315" s="5">
        <v>65.2</v>
      </c>
    </row>
    <row r="316" spans="1:23" ht="15" x14ac:dyDescent="0.2">
      <c r="A316" t="s">
        <v>1009</v>
      </c>
      <c r="B316" s="1">
        <f>45912</f>
        <v>45912</v>
      </c>
      <c r="C316" t="s">
        <v>0</v>
      </c>
      <c r="D316">
        <v>108108</v>
      </c>
      <c r="E316" s="2">
        <v>25004487</v>
      </c>
      <c r="F316" s="2">
        <v>3</v>
      </c>
      <c r="G316" t="s">
        <v>1363</v>
      </c>
      <c r="H316" t="s">
        <v>1045</v>
      </c>
      <c r="I316" t="s">
        <v>1797</v>
      </c>
      <c r="J316" t="s">
        <v>1325</v>
      </c>
      <c r="K316" s="3">
        <v>1</v>
      </c>
      <c r="L316" s="4">
        <v>25.6</v>
      </c>
      <c r="O316" t="s">
        <v>2</v>
      </c>
      <c r="P316" t="s">
        <v>593</v>
      </c>
      <c r="Q316" s="2">
        <v>20</v>
      </c>
      <c r="R316" s="5">
        <v>32</v>
      </c>
      <c r="S316" s="5">
        <v>6.4</v>
      </c>
      <c r="T316" s="2">
        <v>26</v>
      </c>
      <c r="U316" t="s">
        <v>3</v>
      </c>
      <c r="V316" t="s">
        <v>149</v>
      </c>
      <c r="W316" s="5">
        <v>65.2</v>
      </c>
    </row>
    <row r="317" spans="1:23" ht="15" x14ac:dyDescent="0.2">
      <c r="A317" t="s">
        <v>1009</v>
      </c>
      <c r="B317" s="1">
        <f>45912</f>
        <v>45912</v>
      </c>
      <c r="C317" t="s">
        <v>0</v>
      </c>
      <c r="D317">
        <v>108108</v>
      </c>
      <c r="E317" s="2">
        <v>25004488</v>
      </c>
      <c r="F317" s="2">
        <v>1</v>
      </c>
      <c r="G317" t="s">
        <v>1499</v>
      </c>
      <c r="H317" t="s">
        <v>1180</v>
      </c>
      <c r="I317" t="s">
        <v>1647</v>
      </c>
      <c r="J317" t="s">
        <v>1323</v>
      </c>
      <c r="K317" s="3">
        <v>1</v>
      </c>
      <c r="L317" s="4">
        <v>24</v>
      </c>
      <c r="O317" t="s">
        <v>2</v>
      </c>
      <c r="P317" t="s">
        <v>594</v>
      </c>
      <c r="Q317" s="2">
        <v>0</v>
      </c>
      <c r="R317" s="5">
        <v>24</v>
      </c>
      <c r="S317" s="5">
        <v>0</v>
      </c>
      <c r="T317" s="2">
        <v>24</v>
      </c>
      <c r="U317" t="s">
        <v>3</v>
      </c>
      <c r="V317" t="s">
        <v>1322</v>
      </c>
      <c r="W317" s="5">
        <v>20.170000000000002</v>
      </c>
    </row>
    <row r="318" spans="1:23" ht="15" x14ac:dyDescent="0.2">
      <c r="A318" t="s">
        <v>1009</v>
      </c>
      <c r="B318" s="1">
        <f>45912</f>
        <v>45912</v>
      </c>
      <c r="C318" t="s">
        <v>0</v>
      </c>
      <c r="D318">
        <v>108108</v>
      </c>
      <c r="E318" s="2">
        <v>25004489</v>
      </c>
      <c r="F318" s="2">
        <v>1</v>
      </c>
      <c r="G318" t="s">
        <v>1393</v>
      </c>
      <c r="H318" t="s">
        <v>1075</v>
      </c>
      <c r="I318" t="s">
        <v>1798</v>
      </c>
      <c r="J318" t="s">
        <v>1323</v>
      </c>
      <c r="K318" s="3">
        <v>1</v>
      </c>
      <c r="L318" s="4">
        <v>33</v>
      </c>
      <c r="O318" t="s">
        <v>2</v>
      </c>
      <c r="P318" t="s">
        <v>595</v>
      </c>
      <c r="Q318" s="2">
        <v>0</v>
      </c>
      <c r="R318" s="5">
        <v>33</v>
      </c>
      <c r="S318" s="5">
        <v>0</v>
      </c>
      <c r="T318" s="2">
        <v>33</v>
      </c>
      <c r="U318" t="s">
        <v>3</v>
      </c>
      <c r="V318" t="s">
        <v>150</v>
      </c>
      <c r="W318" s="5">
        <v>94.96</v>
      </c>
    </row>
    <row r="319" spans="1:23" ht="15" x14ac:dyDescent="0.2">
      <c r="A319" t="s">
        <v>1009</v>
      </c>
      <c r="B319" s="1">
        <f>45912</f>
        <v>45912</v>
      </c>
      <c r="C319" t="s">
        <v>0</v>
      </c>
      <c r="D319">
        <v>108108</v>
      </c>
      <c r="E319" s="2">
        <v>25004489</v>
      </c>
      <c r="F319" s="2">
        <v>2</v>
      </c>
      <c r="G319" t="s">
        <v>1424</v>
      </c>
      <c r="H319" t="s">
        <v>1106</v>
      </c>
      <c r="I319" t="s">
        <v>1798</v>
      </c>
      <c r="J319" t="s">
        <v>1323</v>
      </c>
      <c r="K319" s="3">
        <v>1</v>
      </c>
      <c r="L319" s="4">
        <v>80</v>
      </c>
      <c r="O319" t="s">
        <v>2</v>
      </c>
      <c r="P319" t="s">
        <v>595</v>
      </c>
      <c r="Q319" s="2">
        <v>0</v>
      </c>
      <c r="R319" s="5">
        <v>80</v>
      </c>
      <c r="S319" s="5">
        <v>0</v>
      </c>
      <c r="T319" s="2">
        <v>80</v>
      </c>
      <c r="U319" t="s">
        <v>3</v>
      </c>
      <c r="V319" t="s">
        <v>150</v>
      </c>
      <c r="W319" s="5">
        <v>94.96</v>
      </c>
    </row>
    <row r="320" spans="1:23" ht="15" x14ac:dyDescent="0.2">
      <c r="A320" t="s">
        <v>1009</v>
      </c>
      <c r="B320" s="1">
        <f>45912</f>
        <v>45912</v>
      </c>
      <c r="C320" t="s">
        <v>0</v>
      </c>
      <c r="D320">
        <v>108108</v>
      </c>
      <c r="E320" s="2">
        <v>25004490</v>
      </c>
      <c r="F320" s="2">
        <v>1</v>
      </c>
      <c r="G320" t="s">
        <v>1345</v>
      </c>
      <c r="H320" t="s">
        <v>1027</v>
      </c>
      <c r="I320" t="s">
        <v>1647</v>
      </c>
      <c r="J320" t="s">
        <v>1323</v>
      </c>
      <c r="K320" s="3">
        <v>1</v>
      </c>
      <c r="L320" s="4">
        <v>27</v>
      </c>
      <c r="O320" t="s">
        <v>2</v>
      </c>
      <c r="P320" t="s">
        <v>596</v>
      </c>
      <c r="Q320" s="2">
        <v>0</v>
      </c>
      <c r="R320" s="5">
        <v>27</v>
      </c>
      <c r="S320" s="5">
        <v>0</v>
      </c>
      <c r="T320" s="2">
        <v>27</v>
      </c>
      <c r="U320" t="s">
        <v>3</v>
      </c>
      <c r="V320" t="s">
        <v>1322</v>
      </c>
      <c r="W320" s="5">
        <v>22.69</v>
      </c>
    </row>
    <row r="321" spans="1:23" ht="15" x14ac:dyDescent="0.2">
      <c r="A321" t="s">
        <v>1009</v>
      </c>
      <c r="B321" s="1">
        <f>45912</f>
        <v>45912</v>
      </c>
      <c r="C321" t="s">
        <v>0</v>
      </c>
      <c r="D321">
        <v>108108</v>
      </c>
      <c r="E321" s="2">
        <v>25004491</v>
      </c>
      <c r="F321" s="2">
        <v>1</v>
      </c>
      <c r="G321" t="s">
        <v>1465</v>
      </c>
      <c r="H321" t="s">
        <v>1146</v>
      </c>
      <c r="I321" t="s">
        <v>1647</v>
      </c>
      <c r="J321" t="s">
        <v>1323</v>
      </c>
      <c r="K321" s="3">
        <v>1</v>
      </c>
      <c r="L321" s="4">
        <v>18.899999999999999</v>
      </c>
      <c r="O321" t="s">
        <v>2</v>
      </c>
      <c r="P321" t="s">
        <v>597</v>
      </c>
      <c r="Q321" s="2">
        <v>0</v>
      </c>
      <c r="R321" s="5">
        <v>18.899999999999999</v>
      </c>
      <c r="S321" s="5">
        <v>0</v>
      </c>
      <c r="T321" s="2">
        <v>19</v>
      </c>
      <c r="U321" t="s">
        <v>3</v>
      </c>
      <c r="V321" t="s">
        <v>1322</v>
      </c>
      <c r="W321" s="5">
        <v>15.88</v>
      </c>
    </row>
    <row r="322" spans="1:23" ht="15" x14ac:dyDescent="0.2">
      <c r="A322" t="s">
        <v>1009</v>
      </c>
      <c r="B322" s="1">
        <f>45912</f>
        <v>45912</v>
      </c>
      <c r="C322" t="s">
        <v>0</v>
      </c>
      <c r="D322">
        <v>108108</v>
      </c>
      <c r="E322" s="2">
        <v>25004492</v>
      </c>
      <c r="F322" s="2">
        <v>1</v>
      </c>
      <c r="G322" t="s">
        <v>1407</v>
      </c>
      <c r="H322" t="s">
        <v>1089</v>
      </c>
      <c r="I322" t="s">
        <v>1715</v>
      </c>
      <c r="J322" t="s">
        <v>1323</v>
      </c>
      <c r="K322" s="3">
        <v>1</v>
      </c>
      <c r="L322" s="4">
        <v>27.5</v>
      </c>
      <c r="O322" t="s">
        <v>2</v>
      </c>
      <c r="P322" t="s">
        <v>598</v>
      </c>
      <c r="Q322" s="2">
        <v>0</v>
      </c>
      <c r="R322" s="5">
        <v>27.5</v>
      </c>
      <c r="S322" s="5">
        <v>0</v>
      </c>
      <c r="T322" s="2">
        <v>28</v>
      </c>
      <c r="U322" t="s">
        <v>3</v>
      </c>
      <c r="V322" t="s">
        <v>71</v>
      </c>
      <c r="W322" s="5">
        <v>45.72</v>
      </c>
    </row>
    <row r="323" spans="1:23" ht="15" x14ac:dyDescent="0.2">
      <c r="A323" t="s">
        <v>1009</v>
      </c>
      <c r="B323" s="1">
        <f>45912</f>
        <v>45912</v>
      </c>
      <c r="C323" t="s">
        <v>0</v>
      </c>
      <c r="D323">
        <v>108108</v>
      </c>
      <c r="E323" s="2">
        <v>25004492</v>
      </c>
      <c r="F323" s="2">
        <v>2</v>
      </c>
      <c r="G323" t="s">
        <v>1445</v>
      </c>
      <c r="H323" t="s">
        <v>1127</v>
      </c>
      <c r="I323" t="s">
        <v>1715</v>
      </c>
      <c r="J323" t="s">
        <v>1323</v>
      </c>
      <c r="K323" s="3">
        <v>1</v>
      </c>
      <c r="L323" s="4">
        <v>26.9</v>
      </c>
      <c r="O323" t="s">
        <v>2</v>
      </c>
      <c r="P323" t="s">
        <v>598</v>
      </c>
      <c r="Q323" s="2">
        <v>0</v>
      </c>
      <c r="R323" s="5">
        <v>26.9</v>
      </c>
      <c r="S323" s="5">
        <v>0</v>
      </c>
      <c r="T323" s="2">
        <v>27</v>
      </c>
      <c r="U323" t="s">
        <v>3</v>
      </c>
      <c r="V323" t="s">
        <v>71</v>
      </c>
      <c r="W323" s="5">
        <v>45.72</v>
      </c>
    </row>
    <row r="324" spans="1:23" ht="15" x14ac:dyDescent="0.2">
      <c r="A324" t="s">
        <v>1009</v>
      </c>
      <c r="B324" s="1">
        <f>45912</f>
        <v>45912</v>
      </c>
      <c r="C324" t="s">
        <v>0</v>
      </c>
      <c r="D324">
        <v>108108</v>
      </c>
      <c r="E324" s="2">
        <v>25004493</v>
      </c>
      <c r="F324" s="2">
        <v>1</v>
      </c>
      <c r="G324" t="s">
        <v>1429</v>
      </c>
      <c r="H324" t="s">
        <v>1111</v>
      </c>
      <c r="I324" t="s">
        <v>1799</v>
      </c>
      <c r="J324" t="s">
        <v>1323</v>
      </c>
      <c r="K324" s="3">
        <v>1</v>
      </c>
      <c r="L324" s="4">
        <v>21.9</v>
      </c>
      <c r="O324" t="s">
        <v>2</v>
      </c>
      <c r="P324" t="s">
        <v>599</v>
      </c>
      <c r="Q324" s="2">
        <v>0</v>
      </c>
      <c r="R324" s="5">
        <v>21.9</v>
      </c>
      <c r="S324" s="5">
        <v>0</v>
      </c>
      <c r="T324" s="2">
        <v>22</v>
      </c>
      <c r="U324" t="s">
        <v>3</v>
      </c>
      <c r="V324" t="s">
        <v>151</v>
      </c>
      <c r="W324" s="5">
        <v>18.399999999999999</v>
      </c>
    </row>
    <row r="325" spans="1:23" ht="15" x14ac:dyDescent="0.2">
      <c r="A325" t="s">
        <v>1009</v>
      </c>
      <c r="B325" s="1">
        <f>45912</f>
        <v>45912</v>
      </c>
      <c r="C325" t="s">
        <v>0</v>
      </c>
      <c r="D325">
        <v>108108</v>
      </c>
      <c r="E325" s="2">
        <v>25004494</v>
      </c>
      <c r="F325" s="2">
        <v>1</v>
      </c>
      <c r="G325" t="s">
        <v>1417</v>
      </c>
      <c r="H325" t="s">
        <v>1099</v>
      </c>
      <c r="I325" t="s">
        <v>1800</v>
      </c>
      <c r="J325" t="s">
        <v>1326</v>
      </c>
      <c r="K325" s="3">
        <v>1</v>
      </c>
      <c r="L325" s="4">
        <v>33.9</v>
      </c>
      <c r="O325" t="s">
        <v>2</v>
      </c>
      <c r="P325" t="s">
        <v>600</v>
      </c>
      <c r="Q325" s="2">
        <v>0</v>
      </c>
      <c r="R325" s="5">
        <v>33.9</v>
      </c>
      <c r="S325" s="5">
        <v>0</v>
      </c>
      <c r="T325" s="2">
        <v>34</v>
      </c>
      <c r="U325" t="s">
        <v>3</v>
      </c>
      <c r="V325" t="s">
        <v>152</v>
      </c>
      <c r="W325" s="5">
        <v>28.49</v>
      </c>
    </row>
    <row r="326" spans="1:23" ht="15" x14ac:dyDescent="0.2">
      <c r="A326" t="s">
        <v>1009</v>
      </c>
      <c r="B326" s="1">
        <f>45912</f>
        <v>45912</v>
      </c>
      <c r="C326" t="s">
        <v>0</v>
      </c>
      <c r="D326">
        <v>108108</v>
      </c>
      <c r="E326" s="2">
        <v>25004495</v>
      </c>
      <c r="F326" s="2">
        <v>1</v>
      </c>
      <c r="G326" t="s">
        <v>1439</v>
      </c>
      <c r="H326" t="s">
        <v>1121</v>
      </c>
      <c r="I326" t="s">
        <v>1801</v>
      </c>
      <c r="J326" t="s">
        <v>1326</v>
      </c>
      <c r="K326" s="3">
        <v>1</v>
      </c>
      <c r="L326" s="4">
        <v>21.9</v>
      </c>
      <c r="O326" t="s">
        <v>2</v>
      </c>
      <c r="P326" t="s">
        <v>601</v>
      </c>
      <c r="Q326" s="2">
        <v>0</v>
      </c>
      <c r="R326" s="5">
        <v>21.9</v>
      </c>
      <c r="S326" s="5">
        <v>0</v>
      </c>
      <c r="T326" s="2">
        <v>22</v>
      </c>
      <c r="U326" t="s">
        <v>3</v>
      </c>
      <c r="V326" t="s">
        <v>153</v>
      </c>
      <c r="W326" s="5">
        <v>22.6</v>
      </c>
    </row>
    <row r="327" spans="1:23" ht="15" x14ac:dyDescent="0.2">
      <c r="A327" t="s">
        <v>1009</v>
      </c>
      <c r="B327" s="1">
        <f>45912</f>
        <v>45912</v>
      </c>
      <c r="C327" t="s">
        <v>0</v>
      </c>
      <c r="D327">
        <v>108108</v>
      </c>
      <c r="E327" s="2">
        <v>25004495</v>
      </c>
      <c r="F327" s="2">
        <v>2</v>
      </c>
      <c r="G327" t="s">
        <v>1332</v>
      </c>
      <c r="H327" t="s">
        <v>362</v>
      </c>
      <c r="I327" t="s">
        <v>1801</v>
      </c>
      <c r="J327" t="s">
        <v>1326</v>
      </c>
      <c r="K327" s="3">
        <v>1</v>
      </c>
      <c r="L327" s="4">
        <v>5</v>
      </c>
      <c r="O327" t="s">
        <v>2</v>
      </c>
      <c r="P327" t="s">
        <v>601</v>
      </c>
      <c r="Q327" s="2">
        <v>0</v>
      </c>
      <c r="R327" s="5">
        <v>5</v>
      </c>
      <c r="S327" s="5">
        <v>0</v>
      </c>
      <c r="T327" s="2">
        <v>5</v>
      </c>
      <c r="U327" t="s">
        <v>3</v>
      </c>
      <c r="V327" t="s">
        <v>153</v>
      </c>
      <c r="W327" s="5">
        <v>22.6</v>
      </c>
    </row>
    <row r="328" spans="1:23" ht="15" x14ac:dyDescent="0.2">
      <c r="A328" t="s">
        <v>1009</v>
      </c>
      <c r="B328" s="1">
        <f>45912</f>
        <v>45912</v>
      </c>
      <c r="C328" t="s">
        <v>0</v>
      </c>
      <c r="D328">
        <v>108108</v>
      </c>
      <c r="E328" s="2">
        <v>25004496</v>
      </c>
      <c r="F328" s="2">
        <v>1</v>
      </c>
      <c r="G328" t="s">
        <v>1500</v>
      </c>
      <c r="H328" t="s">
        <v>1181</v>
      </c>
      <c r="I328" t="s">
        <v>1802</v>
      </c>
      <c r="J328" t="s">
        <v>1325</v>
      </c>
      <c r="K328" s="3">
        <v>1</v>
      </c>
      <c r="L328" s="4">
        <v>6</v>
      </c>
      <c r="O328" t="s">
        <v>2</v>
      </c>
      <c r="P328" t="s">
        <v>602</v>
      </c>
      <c r="Q328" s="2">
        <v>0</v>
      </c>
      <c r="R328" s="5">
        <v>6</v>
      </c>
      <c r="S328" s="5">
        <v>0</v>
      </c>
      <c r="T328" s="2">
        <v>6</v>
      </c>
      <c r="U328" t="s">
        <v>3</v>
      </c>
      <c r="V328" t="s">
        <v>154</v>
      </c>
      <c r="W328" s="5">
        <v>23.44</v>
      </c>
    </row>
    <row r="329" spans="1:23" ht="15" x14ac:dyDescent="0.2">
      <c r="A329" t="s">
        <v>1009</v>
      </c>
      <c r="B329" s="1">
        <f>45912</f>
        <v>45912</v>
      </c>
      <c r="C329" t="s">
        <v>0</v>
      </c>
      <c r="D329">
        <v>108108</v>
      </c>
      <c r="E329" s="2">
        <v>25004496</v>
      </c>
      <c r="F329" s="2">
        <v>2</v>
      </c>
      <c r="G329" t="s">
        <v>1342</v>
      </c>
      <c r="H329" t="s">
        <v>1024</v>
      </c>
      <c r="I329" t="s">
        <v>1802</v>
      </c>
      <c r="J329" t="s">
        <v>1325</v>
      </c>
      <c r="K329" s="3">
        <v>1</v>
      </c>
      <c r="L329" s="4">
        <v>21.9</v>
      </c>
      <c r="O329" t="s">
        <v>2</v>
      </c>
      <c r="P329" t="s">
        <v>602</v>
      </c>
      <c r="Q329" s="2">
        <v>0</v>
      </c>
      <c r="R329" s="5">
        <v>21.9</v>
      </c>
      <c r="S329" s="5">
        <v>0</v>
      </c>
      <c r="T329" s="2">
        <v>22</v>
      </c>
      <c r="U329" t="s">
        <v>3</v>
      </c>
      <c r="V329" t="s">
        <v>154</v>
      </c>
      <c r="W329" s="5">
        <v>23.44</v>
      </c>
    </row>
    <row r="330" spans="1:23" ht="15" x14ac:dyDescent="0.2">
      <c r="A330" t="s">
        <v>1009</v>
      </c>
      <c r="B330" s="1">
        <f>45912</f>
        <v>45912</v>
      </c>
      <c r="C330" t="s">
        <v>0</v>
      </c>
      <c r="D330">
        <v>108108</v>
      </c>
      <c r="E330" s="2">
        <v>25004497</v>
      </c>
      <c r="F330" s="2">
        <v>1</v>
      </c>
      <c r="G330" t="s">
        <v>1501</v>
      </c>
      <c r="H330" t="s">
        <v>1182</v>
      </c>
      <c r="I330" t="s">
        <v>1803</v>
      </c>
      <c r="J330" t="s">
        <v>1325</v>
      </c>
      <c r="K330" s="3">
        <v>1</v>
      </c>
      <c r="L330" s="4">
        <v>26.9</v>
      </c>
      <c r="O330" t="s">
        <v>2</v>
      </c>
      <c r="P330" t="s">
        <v>603</v>
      </c>
      <c r="Q330" s="2">
        <v>0</v>
      </c>
      <c r="R330" s="5">
        <v>26.9</v>
      </c>
      <c r="S330" s="5">
        <v>0</v>
      </c>
      <c r="T330" s="2">
        <v>27</v>
      </c>
      <c r="U330" t="s">
        <v>3</v>
      </c>
      <c r="V330" t="s">
        <v>155</v>
      </c>
      <c r="W330" s="5">
        <v>22.61</v>
      </c>
    </row>
    <row r="331" spans="1:23" ht="15" x14ac:dyDescent="0.2">
      <c r="A331" t="s">
        <v>1009</v>
      </c>
      <c r="B331" s="1">
        <f>45912</f>
        <v>45912</v>
      </c>
      <c r="C331" t="s">
        <v>0</v>
      </c>
      <c r="D331">
        <v>108108</v>
      </c>
      <c r="E331" s="2">
        <v>25004498</v>
      </c>
      <c r="F331" s="2">
        <v>1</v>
      </c>
      <c r="G331" t="s">
        <v>1493</v>
      </c>
      <c r="H331" t="s">
        <v>1174</v>
      </c>
      <c r="I331" t="s">
        <v>1804</v>
      </c>
      <c r="J331" t="s">
        <v>1325</v>
      </c>
      <c r="K331" s="3">
        <v>1</v>
      </c>
      <c r="L331" s="4">
        <v>29.9</v>
      </c>
      <c r="O331" t="s">
        <v>2</v>
      </c>
      <c r="P331" t="s">
        <v>604</v>
      </c>
      <c r="Q331" s="2">
        <v>0</v>
      </c>
      <c r="R331" s="5">
        <v>29.9</v>
      </c>
      <c r="S331" s="5">
        <v>0</v>
      </c>
      <c r="T331" s="2">
        <v>30</v>
      </c>
      <c r="U331" t="s">
        <v>3</v>
      </c>
      <c r="V331" t="s">
        <v>156</v>
      </c>
      <c r="W331" s="5">
        <v>25.13</v>
      </c>
    </row>
    <row r="332" spans="1:23" ht="15" x14ac:dyDescent="0.2">
      <c r="A332" t="s">
        <v>1009</v>
      </c>
      <c r="B332" s="1">
        <f>45912</f>
        <v>45912</v>
      </c>
      <c r="C332" t="s">
        <v>0</v>
      </c>
      <c r="D332">
        <v>108108</v>
      </c>
      <c r="E332" s="2">
        <v>25004499</v>
      </c>
      <c r="F332" s="2">
        <v>1</v>
      </c>
      <c r="G332" t="s">
        <v>1352</v>
      </c>
      <c r="H332" t="s">
        <v>1034</v>
      </c>
      <c r="I332" t="s">
        <v>1805</v>
      </c>
      <c r="J332" t="s">
        <v>1325</v>
      </c>
      <c r="K332" s="3">
        <v>1</v>
      </c>
      <c r="L332" s="4">
        <v>9.9</v>
      </c>
      <c r="O332" t="s">
        <v>2</v>
      </c>
      <c r="P332" t="s">
        <v>605</v>
      </c>
      <c r="Q332" s="2">
        <v>0</v>
      </c>
      <c r="R332" s="5">
        <v>9.9</v>
      </c>
      <c r="S332" s="5">
        <v>0</v>
      </c>
      <c r="T332" s="2">
        <v>10</v>
      </c>
      <c r="U332" t="s">
        <v>3</v>
      </c>
      <c r="V332" t="s">
        <v>157</v>
      </c>
      <c r="W332" s="5">
        <v>8.32</v>
      </c>
    </row>
    <row r="333" spans="1:23" ht="15" x14ac:dyDescent="0.2">
      <c r="A333" t="s">
        <v>1009</v>
      </c>
      <c r="B333" s="1">
        <f>45912</f>
        <v>45912</v>
      </c>
      <c r="C333" t="s">
        <v>0</v>
      </c>
      <c r="D333">
        <v>108108</v>
      </c>
      <c r="E333" s="2">
        <v>25004500</v>
      </c>
      <c r="F333" s="2">
        <v>1</v>
      </c>
      <c r="G333" t="s">
        <v>1502</v>
      </c>
      <c r="H333" t="s">
        <v>1183</v>
      </c>
      <c r="I333" t="s">
        <v>1724</v>
      </c>
      <c r="J333" t="s">
        <v>1325</v>
      </c>
      <c r="K333" s="3">
        <v>1</v>
      </c>
      <c r="L333" s="4">
        <v>22.9</v>
      </c>
      <c r="O333" t="s">
        <v>2</v>
      </c>
      <c r="P333" t="s">
        <v>606</v>
      </c>
      <c r="Q333" s="2">
        <v>0</v>
      </c>
      <c r="R333" s="5">
        <v>22.9</v>
      </c>
      <c r="S333" s="5">
        <v>0</v>
      </c>
      <c r="T333" s="2">
        <v>23</v>
      </c>
      <c r="U333" t="s">
        <v>3</v>
      </c>
      <c r="V333" t="s">
        <v>80</v>
      </c>
      <c r="W333" s="5">
        <v>19.239999999999998</v>
      </c>
    </row>
    <row r="334" spans="1:23" ht="15" x14ac:dyDescent="0.2">
      <c r="A334" t="s">
        <v>1009</v>
      </c>
      <c r="B334" s="1">
        <f>45912</f>
        <v>45912</v>
      </c>
      <c r="C334" t="s">
        <v>0</v>
      </c>
      <c r="D334">
        <v>108108</v>
      </c>
      <c r="E334" s="2">
        <v>25004501</v>
      </c>
      <c r="F334" s="2">
        <v>1</v>
      </c>
      <c r="G334" t="s">
        <v>1467</v>
      </c>
      <c r="H334" t="s">
        <v>1148</v>
      </c>
      <c r="I334" t="s">
        <v>1806</v>
      </c>
      <c r="J334" t="s">
        <v>1326</v>
      </c>
      <c r="K334" s="3">
        <v>1</v>
      </c>
      <c r="L334" s="4">
        <v>7</v>
      </c>
      <c r="O334" t="s">
        <v>2</v>
      </c>
      <c r="P334" t="s">
        <v>607</v>
      </c>
      <c r="Q334" s="2">
        <v>0</v>
      </c>
      <c r="R334" s="5">
        <v>7</v>
      </c>
      <c r="S334" s="5">
        <v>0</v>
      </c>
      <c r="T334" s="2">
        <v>7</v>
      </c>
      <c r="U334" t="s">
        <v>3</v>
      </c>
      <c r="V334" t="s">
        <v>158</v>
      </c>
      <c r="W334" s="5">
        <v>24.28</v>
      </c>
    </row>
    <row r="335" spans="1:23" ht="15" x14ac:dyDescent="0.2">
      <c r="A335" t="s">
        <v>1009</v>
      </c>
      <c r="B335" s="1">
        <f>45912</f>
        <v>45912</v>
      </c>
      <c r="C335" t="s">
        <v>0</v>
      </c>
      <c r="D335">
        <v>108108</v>
      </c>
      <c r="E335" s="2">
        <v>25004501</v>
      </c>
      <c r="F335" s="2">
        <v>2</v>
      </c>
      <c r="G335" t="s">
        <v>1342</v>
      </c>
      <c r="H335" t="s">
        <v>1024</v>
      </c>
      <c r="I335" t="s">
        <v>1806</v>
      </c>
      <c r="J335" t="s">
        <v>1326</v>
      </c>
      <c r="K335" s="3">
        <v>1</v>
      </c>
      <c r="L335" s="4">
        <v>21.9</v>
      </c>
      <c r="O335" t="s">
        <v>2</v>
      </c>
      <c r="P335" t="s">
        <v>607</v>
      </c>
      <c r="Q335" s="2">
        <v>0</v>
      </c>
      <c r="R335" s="5">
        <v>21.9</v>
      </c>
      <c r="S335" s="5">
        <v>0</v>
      </c>
      <c r="T335" s="2">
        <v>22</v>
      </c>
      <c r="U335" t="s">
        <v>3</v>
      </c>
      <c r="V335" t="s">
        <v>158</v>
      </c>
      <c r="W335" s="5">
        <v>24.28</v>
      </c>
    </row>
    <row r="336" spans="1:23" ht="15" x14ac:dyDescent="0.2">
      <c r="A336" t="s">
        <v>1009</v>
      </c>
      <c r="B336" s="1">
        <f>45912</f>
        <v>45912</v>
      </c>
      <c r="C336" t="s">
        <v>0</v>
      </c>
      <c r="D336">
        <v>108108</v>
      </c>
      <c r="E336" s="2">
        <v>25004502</v>
      </c>
      <c r="F336" s="2">
        <v>1</v>
      </c>
      <c r="G336" t="s">
        <v>1346</v>
      </c>
      <c r="H336" t="s">
        <v>1028</v>
      </c>
      <c r="I336" t="s">
        <v>1807</v>
      </c>
      <c r="J336" t="s">
        <v>1323</v>
      </c>
      <c r="K336" s="3">
        <v>1</v>
      </c>
      <c r="L336" s="4">
        <v>22.9</v>
      </c>
      <c r="O336" t="s">
        <v>2</v>
      </c>
      <c r="P336" t="s">
        <v>608</v>
      </c>
      <c r="Q336" s="2">
        <v>0</v>
      </c>
      <c r="R336" s="5">
        <v>22.9</v>
      </c>
      <c r="S336" s="5">
        <v>0</v>
      </c>
      <c r="T336" s="2">
        <v>23</v>
      </c>
      <c r="U336" t="s">
        <v>3</v>
      </c>
      <c r="V336" t="s">
        <v>159</v>
      </c>
      <c r="W336" s="5">
        <v>19.239999999999998</v>
      </c>
    </row>
    <row r="337" spans="1:23" ht="15" x14ac:dyDescent="0.2">
      <c r="A337" t="s">
        <v>1009</v>
      </c>
      <c r="B337" s="1">
        <f>45912</f>
        <v>45912</v>
      </c>
      <c r="C337" t="s">
        <v>0</v>
      </c>
      <c r="D337">
        <v>108108</v>
      </c>
      <c r="E337" s="2">
        <v>25004503</v>
      </c>
      <c r="F337" s="2">
        <v>1</v>
      </c>
      <c r="G337" t="s">
        <v>1366</v>
      </c>
      <c r="H337" t="s">
        <v>1048</v>
      </c>
      <c r="I337" t="s">
        <v>1808</v>
      </c>
      <c r="J337" t="s">
        <v>1326</v>
      </c>
      <c r="K337" s="3">
        <v>1</v>
      </c>
      <c r="L337" s="4">
        <v>25.5</v>
      </c>
      <c r="O337" t="s">
        <v>2</v>
      </c>
      <c r="P337" t="s">
        <v>609</v>
      </c>
      <c r="Q337" s="2">
        <v>0</v>
      </c>
      <c r="R337" s="5">
        <v>25.5</v>
      </c>
      <c r="S337" s="5">
        <v>0</v>
      </c>
      <c r="T337" s="2">
        <v>26</v>
      </c>
      <c r="U337" t="s">
        <v>3</v>
      </c>
      <c r="V337" t="s">
        <v>160</v>
      </c>
      <c r="W337" s="5">
        <v>21.43</v>
      </c>
    </row>
    <row r="338" spans="1:23" ht="15" x14ac:dyDescent="0.2">
      <c r="A338" t="s">
        <v>1009</v>
      </c>
      <c r="B338" s="1">
        <f>45912</f>
        <v>45912</v>
      </c>
      <c r="C338" t="s">
        <v>0</v>
      </c>
      <c r="D338">
        <v>108108</v>
      </c>
      <c r="E338" s="2">
        <v>25004504</v>
      </c>
      <c r="F338" s="2">
        <v>1</v>
      </c>
      <c r="G338" t="s">
        <v>1503</v>
      </c>
      <c r="H338" t="s">
        <v>1184</v>
      </c>
      <c r="I338" t="s">
        <v>1734</v>
      </c>
      <c r="J338" t="s">
        <v>1323</v>
      </c>
      <c r="K338" s="3">
        <v>1</v>
      </c>
      <c r="L338" s="4">
        <v>27.9</v>
      </c>
      <c r="O338" t="s">
        <v>2</v>
      </c>
      <c r="P338" t="s">
        <v>610</v>
      </c>
      <c r="Q338" s="2">
        <v>0</v>
      </c>
      <c r="R338" s="5">
        <v>27.9</v>
      </c>
      <c r="S338" s="5">
        <v>0</v>
      </c>
      <c r="T338" s="2">
        <v>28</v>
      </c>
      <c r="U338" t="s">
        <v>3</v>
      </c>
      <c r="V338" t="s">
        <v>89</v>
      </c>
      <c r="W338" s="5">
        <v>23.45</v>
      </c>
    </row>
    <row r="339" spans="1:23" ht="15" x14ac:dyDescent="0.2">
      <c r="A339" t="s">
        <v>1009</v>
      </c>
      <c r="B339" s="1">
        <f>45912</f>
        <v>45912</v>
      </c>
      <c r="C339" t="s">
        <v>0</v>
      </c>
      <c r="D339">
        <v>108108</v>
      </c>
      <c r="E339" s="2">
        <v>25004505</v>
      </c>
      <c r="F339" s="2">
        <v>1</v>
      </c>
      <c r="G339" t="s">
        <v>1504</v>
      </c>
      <c r="H339" t="s">
        <v>1185</v>
      </c>
      <c r="I339" t="s">
        <v>1809</v>
      </c>
      <c r="J339" t="s">
        <v>1323</v>
      </c>
      <c r="K339" s="3">
        <v>1</v>
      </c>
      <c r="L339" s="4">
        <v>71.900000000000006</v>
      </c>
      <c r="O339" t="s">
        <v>2</v>
      </c>
      <c r="P339" t="s">
        <v>611</v>
      </c>
      <c r="Q339" s="2">
        <v>0</v>
      </c>
      <c r="R339" s="5">
        <v>71.900000000000006</v>
      </c>
      <c r="S339" s="5">
        <v>0</v>
      </c>
      <c r="T339" s="2">
        <v>72</v>
      </c>
      <c r="U339" t="s">
        <v>3</v>
      </c>
      <c r="V339" t="s">
        <v>161</v>
      </c>
      <c r="W339" s="5">
        <v>60.42</v>
      </c>
    </row>
    <row r="340" spans="1:23" ht="15" x14ac:dyDescent="0.2">
      <c r="A340" t="s">
        <v>1009</v>
      </c>
      <c r="B340" s="1">
        <f>45912</f>
        <v>45912</v>
      </c>
      <c r="C340" t="s">
        <v>0</v>
      </c>
      <c r="D340">
        <v>108108</v>
      </c>
      <c r="E340" s="2">
        <v>25004506</v>
      </c>
      <c r="F340" s="2">
        <v>1</v>
      </c>
      <c r="G340" t="s">
        <v>1437</v>
      </c>
      <c r="H340" t="s">
        <v>1119</v>
      </c>
      <c r="I340" t="s">
        <v>1647</v>
      </c>
      <c r="J340" t="s">
        <v>1323</v>
      </c>
      <c r="K340" s="3">
        <v>1</v>
      </c>
      <c r="L340" s="4">
        <v>9.9</v>
      </c>
      <c r="O340" t="s">
        <v>2</v>
      </c>
      <c r="P340" t="s">
        <v>612</v>
      </c>
      <c r="Q340" s="2">
        <v>0</v>
      </c>
      <c r="R340" s="5">
        <v>9.9</v>
      </c>
      <c r="S340" s="5">
        <v>0</v>
      </c>
      <c r="T340" s="2">
        <v>10</v>
      </c>
      <c r="U340" t="s">
        <v>3</v>
      </c>
      <c r="V340" t="s">
        <v>1322</v>
      </c>
      <c r="W340" s="5">
        <v>8.32</v>
      </c>
    </row>
    <row r="341" spans="1:23" ht="15" x14ac:dyDescent="0.2">
      <c r="A341" t="s">
        <v>1009</v>
      </c>
      <c r="B341" s="1">
        <f>45912</f>
        <v>45912</v>
      </c>
      <c r="C341" t="s">
        <v>0</v>
      </c>
      <c r="D341">
        <v>108108</v>
      </c>
      <c r="E341" s="2">
        <v>25004507</v>
      </c>
      <c r="F341" s="2">
        <v>1</v>
      </c>
      <c r="G341" t="s">
        <v>1363</v>
      </c>
      <c r="H341" t="s">
        <v>1045</v>
      </c>
      <c r="I341" t="s">
        <v>1647</v>
      </c>
      <c r="J341" t="s">
        <v>1323</v>
      </c>
      <c r="K341" s="3">
        <v>1</v>
      </c>
      <c r="L341" s="4">
        <v>32</v>
      </c>
      <c r="O341" t="s">
        <v>2</v>
      </c>
      <c r="P341" t="s">
        <v>613</v>
      </c>
      <c r="Q341" s="2">
        <v>0</v>
      </c>
      <c r="R341" s="5">
        <v>32</v>
      </c>
      <c r="S341" s="5">
        <v>0</v>
      </c>
      <c r="T341" s="2">
        <v>32</v>
      </c>
      <c r="U341" t="s">
        <v>3</v>
      </c>
      <c r="V341" t="s">
        <v>1322</v>
      </c>
      <c r="W341" s="5">
        <v>26.89</v>
      </c>
    </row>
    <row r="342" spans="1:23" ht="15" x14ac:dyDescent="0.2">
      <c r="A342" t="s">
        <v>1009</v>
      </c>
      <c r="B342" s="1">
        <f>45912</f>
        <v>45912</v>
      </c>
      <c r="C342" t="s">
        <v>0</v>
      </c>
      <c r="D342">
        <v>108108</v>
      </c>
      <c r="E342" s="2">
        <v>25004508</v>
      </c>
      <c r="F342" s="2">
        <v>1</v>
      </c>
      <c r="G342" t="s">
        <v>1505</v>
      </c>
      <c r="H342" t="s">
        <v>1186</v>
      </c>
      <c r="I342" t="s">
        <v>1744</v>
      </c>
      <c r="J342" t="s">
        <v>1323</v>
      </c>
      <c r="K342" s="3">
        <v>1</v>
      </c>
      <c r="L342" s="4">
        <v>28.9</v>
      </c>
      <c r="O342" t="s">
        <v>2</v>
      </c>
      <c r="P342" t="s">
        <v>614</v>
      </c>
      <c r="Q342" s="2">
        <v>0</v>
      </c>
      <c r="R342" s="5">
        <v>28.9</v>
      </c>
      <c r="S342" s="5">
        <v>0</v>
      </c>
      <c r="T342" s="2">
        <v>29</v>
      </c>
      <c r="U342" t="s">
        <v>3</v>
      </c>
      <c r="V342" t="s">
        <v>99</v>
      </c>
      <c r="W342" s="5">
        <v>28.49</v>
      </c>
    </row>
    <row r="343" spans="1:23" ht="15" x14ac:dyDescent="0.2">
      <c r="A343" t="s">
        <v>1009</v>
      </c>
      <c r="B343" s="1">
        <f>45912</f>
        <v>45912</v>
      </c>
      <c r="C343" t="s">
        <v>0</v>
      </c>
      <c r="D343">
        <v>108108</v>
      </c>
      <c r="E343" s="2">
        <v>25004508</v>
      </c>
      <c r="F343" s="2">
        <v>2</v>
      </c>
      <c r="G343" t="s">
        <v>1332</v>
      </c>
      <c r="H343" t="s">
        <v>362</v>
      </c>
      <c r="I343" t="s">
        <v>1744</v>
      </c>
      <c r="J343" t="s">
        <v>1323</v>
      </c>
      <c r="K343" s="3">
        <v>1</v>
      </c>
      <c r="L343" s="4">
        <v>5</v>
      </c>
      <c r="O343" t="s">
        <v>2</v>
      </c>
      <c r="P343" t="s">
        <v>614</v>
      </c>
      <c r="Q343" s="2">
        <v>0</v>
      </c>
      <c r="R343" s="5">
        <v>5</v>
      </c>
      <c r="S343" s="5">
        <v>0</v>
      </c>
      <c r="T343" s="2">
        <v>5</v>
      </c>
      <c r="U343" t="s">
        <v>3</v>
      </c>
      <c r="V343" t="s">
        <v>99</v>
      </c>
      <c r="W343" s="5">
        <v>28.49</v>
      </c>
    </row>
    <row r="344" spans="1:23" ht="15" x14ac:dyDescent="0.2">
      <c r="A344" t="s">
        <v>1009</v>
      </c>
      <c r="B344" s="1">
        <f>45912</f>
        <v>45912</v>
      </c>
      <c r="C344" t="s">
        <v>0</v>
      </c>
      <c r="D344">
        <v>108108</v>
      </c>
      <c r="E344" s="2">
        <v>25004509</v>
      </c>
      <c r="F344" s="2">
        <v>1</v>
      </c>
      <c r="G344" t="s">
        <v>1419</v>
      </c>
      <c r="H344" t="s">
        <v>1101</v>
      </c>
      <c r="I344" t="s">
        <v>1647</v>
      </c>
      <c r="J344" t="s">
        <v>1323</v>
      </c>
      <c r="K344" s="3">
        <v>1</v>
      </c>
      <c r="L344" s="4">
        <v>6</v>
      </c>
      <c r="O344" t="s">
        <v>2</v>
      </c>
      <c r="P344" t="s">
        <v>615</v>
      </c>
      <c r="Q344" s="2">
        <v>0</v>
      </c>
      <c r="R344" s="5">
        <v>6</v>
      </c>
      <c r="S344" s="5">
        <v>0</v>
      </c>
      <c r="T344" s="2">
        <v>6</v>
      </c>
      <c r="U344" t="s">
        <v>3</v>
      </c>
      <c r="V344" t="s">
        <v>1322</v>
      </c>
      <c r="W344" s="5">
        <v>24.28</v>
      </c>
    </row>
    <row r="345" spans="1:23" ht="15" x14ac:dyDescent="0.2">
      <c r="A345" t="s">
        <v>1009</v>
      </c>
      <c r="B345" s="1">
        <f>45912</f>
        <v>45912</v>
      </c>
      <c r="C345" t="s">
        <v>0</v>
      </c>
      <c r="D345">
        <v>108108</v>
      </c>
      <c r="E345" s="2">
        <v>25004509</v>
      </c>
      <c r="F345" s="2">
        <v>2</v>
      </c>
      <c r="G345" t="s">
        <v>1442</v>
      </c>
      <c r="H345" t="s">
        <v>1124</v>
      </c>
      <c r="I345" t="s">
        <v>1647</v>
      </c>
      <c r="J345" t="s">
        <v>1323</v>
      </c>
      <c r="K345" s="3">
        <v>1</v>
      </c>
      <c r="L345" s="4">
        <v>22.9</v>
      </c>
      <c r="O345" t="s">
        <v>2</v>
      </c>
      <c r="P345" t="s">
        <v>615</v>
      </c>
      <c r="Q345" s="2">
        <v>0</v>
      </c>
      <c r="R345" s="5">
        <v>22.9</v>
      </c>
      <c r="S345" s="5">
        <v>0</v>
      </c>
      <c r="T345" s="2">
        <v>23</v>
      </c>
      <c r="U345" t="s">
        <v>3</v>
      </c>
      <c r="V345" t="s">
        <v>1322</v>
      </c>
      <c r="W345" s="5">
        <v>24.28</v>
      </c>
    </row>
    <row r="346" spans="1:23" ht="15" x14ac:dyDescent="0.2">
      <c r="A346" t="s">
        <v>1009</v>
      </c>
      <c r="B346" s="1">
        <f>45912</f>
        <v>45912</v>
      </c>
      <c r="C346" t="s">
        <v>0</v>
      </c>
      <c r="D346">
        <v>108108</v>
      </c>
      <c r="E346" s="2">
        <v>25004510</v>
      </c>
      <c r="F346" s="2">
        <v>1</v>
      </c>
      <c r="G346" t="s">
        <v>1441</v>
      </c>
      <c r="H346" t="s">
        <v>1123</v>
      </c>
      <c r="I346" t="s">
        <v>1810</v>
      </c>
      <c r="J346" t="s">
        <v>1323</v>
      </c>
      <c r="K346" s="3">
        <v>1</v>
      </c>
      <c r="L346" s="4">
        <v>16.899999999999999</v>
      </c>
      <c r="O346" t="s">
        <v>2</v>
      </c>
      <c r="P346" t="s">
        <v>616</v>
      </c>
      <c r="Q346" s="2">
        <v>0</v>
      </c>
      <c r="R346" s="5">
        <v>16.899999999999999</v>
      </c>
      <c r="S346" s="5">
        <v>0</v>
      </c>
      <c r="T346" s="2">
        <v>17</v>
      </c>
      <c r="U346" t="s">
        <v>3</v>
      </c>
      <c r="V346" t="s">
        <v>162</v>
      </c>
      <c r="W346" s="5">
        <v>28.4</v>
      </c>
    </row>
    <row r="347" spans="1:23" ht="15" x14ac:dyDescent="0.2">
      <c r="A347" t="s">
        <v>1009</v>
      </c>
      <c r="B347" s="1">
        <f>45912</f>
        <v>45912</v>
      </c>
      <c r="C347" t="s">
        <v>0</v>
      </c>
      <c r="D347">
        <v>108108</v>
      </c>
      <c r="E347" s="2">
        <v>25004510</v>
      </c>
      <c r="F347" s="2">
        <v>2</v>
      </c>
      <c r="G347" t="s">
        <v>1506</v>
      </c>
      <c r="H347" t="s">
        <v>1187</v>
      </c>
      <c r="I347" t="s">
        <v>1810</v>
      </c>
      <c r="J347" t="s">
        <v>1323</v>
      </c>
      <c r="K347" s="3">
        <v>1</v>
      </c>
      <c r="L347" s="4">
        <v>16.899999999999999</v>
      </c>
      <c r="O347" t="s">
        <v>2</v>
      </c>
      <c r="P347" t="s">
        <v>616</v>
      </c>
      <c r="Q347" s="2">
        <v>0</v>
      </c>
      <c r="R347" s="5">
        <v>16.899999999999999</v>
      </c>
      <c r="S347" s="5">
        <v>0</v>
      </c>
      <c r="T347" s="2">
        <v>17</v>
      </c>
      <c r="U347" t="s">
        <v>3</v>
      </c>
      <c r="V347" t="s">
        <v>162</v>
      </c>
      <c r="W347" s="5">
        <v>28.4</v>
      </c>
    </row>
    <row r="348" spans="1:23" ht="15" x14ac:dyDescent="0.2">
      <c r="A348" t="s">
        <v>1009</v>
      </c>
      <c r="B348" s="1">
        <f>45912</f>
        <v>45912</v>
      </c>
      <c r="C348" t="s">
        <v>0</v>
      </c>
      <c r="D348">
        <v>108108</v>
      </c>
      <c r="E348" s="2">
        <v>25004511</v>
      </c>
      <c r="F348" s="2">
        <v>1</v>
      </c>
      <c r="G348" t="s">
        <v>1363</v>
      </c>
      <c r="H348" t="s">
        <v>1045</v>
      </c>
      <c r="I348" t="s">
        <v>1811</v>
      </c>
      <c r="J348" t="s">
        <v>1323</v>
      </c>
      <c r="K348" s="3">
        <v>1</v>
      </c>
      <c r="L348" s="4">
        <v>32</v>
      </c>
      <c r="O348" t="s">
        <v>2</v>
      </c>
      <c r="P348" t="s">
        <v>617</v>
      </c>
      <c r="Q348" s="2">
        <v>0</v>
      </c>
      <c r="R348" s="5">
        <v>32</v>
      </c>
      <c r="S348" s="5">
        <v>0</v>
      </c>
      <c r="T348" s="2">
        <v>32</v>
      </c>
      <c r="U348" t="s">
        <v>3</v>
      </c>
      <c r="V348" t="s">
        <v>163</v>
      </c>
      <c r="W348" s="5">
        <v>26.89</v>
      </c>
    </row>
    <row r="349" spans="1:23" ht="15" x14ac:dyDescent="0.2">
      <c r="A349" t="s">
        <v>1009</v>
      </c>
      <c r="B349" s="1">
        <f>45912</f>
        <v>45912</v>
      </c>
      <c r="C349" t="s">
        <v>0</v>
      </c>
      <c r="D349">
        <v>108108</v>
      </c>
      <c r="E349" s="2">
        <v>25004512</v>
      </c>
      <c r="F349" s="2">
        <v>1</v>
      </c>
      <c r="G349" t="s">
        <v>1646</v>
      </c>
      <c r="H349" t="s">
        <v>361</v>
      </c>
      <c r="I349" t="s">
        <v>1647</v>
      </c>
      <c r="J349" t="s">
        <v>1323</v>
      </c>
      <c r="K349" s="3">
        <v>1</v>
      </c>
      <c r="L349" s="4">
        <v>-450</v>
      </c>
      <c r="Q349" s="2">
        <v>0</v>
      </c>
      <c r="R349" s="5">
        <v>-450</v>
      </c>
      <c r="S349" s="5">
        <v>0</v>
      </c>
      <c r="T349" s="2">
        <v>-450</v>
      </c>
      <c r="U349" t="s">
        <v>1</v>
      </c>
      <c r="V349" t="s">
        <v>361</v>
      </c>
      <c r="W349" s="5">
        <v>-450</v>
      </c>
    </row>
    <row r="350" spans="1:23" ht="15" x14ac:dyDescent="0.2">
      <c r="A350" t="s">
        <v>1009</v>
      </c>
      <c r="B350" s="1">
        <f>45913</f>
        <v>45913</v>
      </c>
      <c r="C350" t="s">
        <v>0</v>
      </c>
      <c r="D350">
        <v>108108</v>
      </c>
      <c r="E350" s="2">
        <v>25004513</v>
      </c>
      <c r="F350" s="2">
        <v>1</v>
      </c>
      <c r="G350" t="s">
        <v>1646</v>
      </c>
      <c r="H350" t="s">
        <v>361</v>
      </c>
      <c r="I350" t="s">
        <v>1647</v>
      </c>
      <c r="J350" t="s">
        <v>1323</v>
      </c>
      <c r="K350" s="3">
        <v>1</v>
      </c>
      <c r="L350" s="4">
        <v>450</v>
      </c>
      <c r="Q350" s="2">
        <v>0</v>
      </c>
      <c r="R350" s="5">
        <v>450</v>
      </c>
      <c r="S350" s="5">
        <v>0</v>
      </c>
      <c r="T350" s="2">
        <v>450</v>
      </c>
      <c r="U350" t="s">
        <v>1</v>
      </c>
      <c r="V350" t="s">
        <v>361</v>
      </c>
      <c r="W350" s="5">
        <v>450</v>
      </c>
    </row>
    <row r="351" spans="1:23" ht="15" x14ac:dyDescent="0.2">
      <c r="A351" t="s">
        <v>1009</v>
      </c>
      <c r="B351" s="1">
        <f>45913</f>
        <v>45913</v>
      </c>
      <c r="C351" t="s">
        <v>0</v>
      </c>
      <c r="D351">
        <v>108108</v>
      </c>
      <c r="E351" s="2">
        <v>25004514</v>
      </c>
      <c r="F351" s="2">
        <v>1</v>
      </c>
      <c r="G351" t="s">
        <v>1443</v>
      </c>
      <c r="H351" t="s">
        <v>1125</v>
      </c>
      <c r="I351" t="s">
        <v>1647</v>
      </c>
      <c r="J351" t="s">
        <v>1323</v>
      </c>
      <c r="K351" s="3">
        <v>1</v>
      </c>
      <c r="L351" s="4">
        <v>22.9</v>
      </c>
      <c r="O351" t="s">
        <v>2</v>
      </c>
      <c r="P351" t="s">
        <v>618</v>
      </c>
      <c r="Q351" s="2">
        <v>0</v>
      </c>
      <c r="R351" s="5">
        <v>22.9</v>
      </c>
      <c r="S351" s="5">
        <v>0</v>
      </c>
      <c r="T351" s="2">
        <v>23</v>
      </c>
      <c r="U351" t="s">
        <v>3</v>
      </c>
      <c r="V351" t="s">
        <v>1322</v>
      </c>
      <c r="W351" s="5">
        <v>44.37</v>
      </c>
    </row>
    <row r="352" spans="1:23" ht="15" x14ac:dyDescent="0.2">
      <c r="A352" t="s">
        <v>1009</v>
      </c>
      <c r="B352" s="1">
        <f>45913</f>
        <v>45913</v>
      </c>
      <c r="C352" t="s">
        <v>0</v>
      </c>
      <c r="D352">
        <v>108108</v>
      </c>
      <c r="E352" s="2">
        <v>25004514</v>
      </c>
      <c r="F352" s="2">
        <v>2</v>
      </c>
      <c r="G352" t="s">
        <v>1507</v>
      </c>
      <c r="H352" t="s">
        <v>1188</v>
      </c>
      <c r="I352" t="s">
        <v>1647</v>
      </c>
      <c r="J352" t="s">
        <v>1323</v>
      </c>
      <c r="K352" s="3">
        <v>1</v>
      </c>
      <c r="L352" s="4">
        <v>29.9</v>
      </c>
      <c r="O352" t="s">
        <v>2</v>
      </c>
      <c r="P352" t="s">
        <v>618</v>
      </c>
      <c r="Q352" s="2">
        <v>0</v>
      </c>
      <c r="R352" s="5">
        <v>29.9</v>
      </c>
      <c r="S352" s="5">
        <v>0</v>
      </c>
      <c r="T352" s="2">
        <v>30</v>
      </c>
      <c r="U352" t="s">
        <v>3</v>
      </c>
      <c r="V352" t="s">
        <v>1322</v>
      </c>
      <c r="W352" s="5">
        <v>44.37</v>
      </c>
    </row>
    <row r="353" spans="1:23" ht="15" x14ac:dyDescent="0.2">
      <c r="A353" t="s">
        <v>1009</v>
      </c>
      <c r="B353" s="1">
        <f>45913</f>
        <v>45913</v>
      </c>
      <c r="C353" t="s">
        <v>0</v>
      </c>
      <c r="D353">
        <v>108108</v>
      </c>
      <c r="E353" s="2">
        <v>25004515</v>
      </c>
      <c r="F353" s="2">
        <v>1</v>
      </c>
      <c r="G353" t="s">
        <v>1507</v>
      </c>
      <c r="H353" t="s">
        <v>1188</v>
      </c>
      <c r="I353" t="s">
        <v>1740</v>
      </c>
      <c r="J353" t="s">
        <v>1323</v>
      </c>
      <c r="K353" s="3">
        <v>1</v>
      </c>
      <c r="L353" s="4">
        <v>29.9</v>
      </c>
      <c r="O353" t="s">
        <v>2</v>
      </c>
      <c r="P353" t="s">
        <v>619</v>
      </c>
      <c r="Q353" s="2">
        <v>0</v>
      </c>
      <c r="R353" s="5">
        <v>29.9</v>
      </c>
      <c r="S353" s="5">
        <v>0</v>
      </c>
      <c r="T353" s="2">
        <v>30</v>
      </c>
      <c r="U353" t="s">
        <v>3</v>
      </c>
      <c r="V353" t="s">
        <v>95</v>
      </c>
      <c r="W353" s="5">
        <v>61.6</v>
      </c>
    </row>
    <row r="354" spans="1:23" ht="15" x14ac:dyDescent="0.2">
      <c r="A354" t="s">
        <v>1009</v>
      </c>
      <c r="B354" s="1">
        <f>45913</f>
        <v>45913</v>
      </c>
      <c r="C354" t="s">
        <v>0</v>
      </c>
      <c r="D354">
        <v>108108</v>
      </c>
      <c r="E354" s="2">
        <v>25004515</v>
      </c>
      <c r="F354" s="2">
        <v>2</v>
      </c>
      <c r="G354" t="s">
        <v>1508</v>
      </c>
      <c r="H354" t="s">
        <v>1189</v>
      </c>
      <c r="I354" t="s">
        <v>1740</v>
      </c>
      <c r="J354" t="s">
        <v>1323</v>
      </c>
      <c r="K354" s="3">
        <v>1</v>
      </c>
      <c r="L354" s="4">
        <v>19.5</v>
      </c>
      <c r="O354" t="s">
        <v>2</v>
      </c>
      <c r="P354" t="s">
        <v>619</v>
      </c>
      <c r="Q354" s="2">
        <v>0</v>
      </c>
      <c r="R354" s="5">
        <v>19.5</v>
      </c>
      <c r="S354" s="5">
        <v>0</v>
      </c>
      <c r="T354" s="2">
        <v>20</v>
      </c>
      <c r="U354" t="s">
        <v>3</v>
      </c>
      <c r="V354" t="s">
        <v>95</v>
      </c>
      <c r="W354" s="5">
        <v>61.6</v>
      </c>
    </row>
    <row r="355" spans="1:23" ht="15" x14ac:dyDescent="0.2">
      <c r="A355" t="s">
        <v>1009</v>
      </c>
      <c r="B355" s="1">
        <f>45913</f>
        <v>45913</v>
      </c>
      <c r="C355" t="s">
        <v>0</v>
      </c>
      <c r="D355">
        <v>108108</v>
      </c>
      <c r="E355" s="2">
        <v>25004515</v>
      </c>
      <c r="F355" s="2">
        <v>3</v>
      </c>
      <c r="G355" t="s">
        <v>1476</v>
      </c>
      <c r="H355" t="s">
        <v>1157</v>
      </c>
      <c r="I355" t="s">
        <v>1740</v>
      </c>
      <c r="J355" t="s">
        <v>1323</v>
      </c>
      <c r="K355" s="3">
        <v>1</v>
      </c>
      <c r="L355" s="4">
        <v>23.9</v>
      </c>
      <c r="O355" t="s">
        <v>2</v>
      </c>
      <c r="P355" t="s">
        <v>619</v>
      </c>
      <c r="Q355" s="2">
        <v>0</v>
      </c>
      <c r="R355" s="5">
        <v>23.9</v>
      </c>
      <c r="S355" s="5">
        <v>0</v>
      </c>
      <c r="T355" s="2">
        <v>24</v>
      </c>
      <c r="U355" t="s">
        <v>3</v>
      </c>
      <c r="V355" t="s">
        <v>95</v>
      </c>
      <c r="W355" s="5">
        <v>61.6</v>
      </c>
    </row>
    <row r="356" spans="1:23" ht="15" x14ac:dyDescent="0.2">
      <c r="A356" t="s">
        <v>1009</v>
      </c>
      <c r="B356" s="1">
        <f>45913</f>
        <v>45913</v>
      </c>
      <c r="C356" t="s">
        <v>0</v>
      </c>
      <c r="D356">
        <v>108108</v>
      </c>
      <c r="E356" s="2">
        <v>25004516</v>
      </c>
      <c r="F356" s="2">
        <v>1</v>
      </c>
      <c r="G356" t="s">
        <v>1393</v>
      </c>
      <c r="H356" t="s">
        <v>1075</v>
      </c>
      <c r="I356" t="s">
        <v>1724</v>
      </c>
      <c r="J356" t="s">
        <v>1323</v>
      </c>
      <c r="K356" s="3">
        <v>1</v>
      </c>
      <c r="L356" s="4">
        <v>33</v>
      </c>
      <c r="O356" t="s">
        <v>2</v>
      </c>
      <c r="P356" t="s">
        <v>620</v>
      </c>
      <c r="Q356" s="2">
        <v>0</v>
      </c>
      <c r="R356" s="5">
        <v>33</v>
      </c>
      <c r="S356" s="5">
        <v>0</v>
      </c>
      <c r="T356" s="2">
        <v>33</v>
      </c>
      <c r="U356" t="s">
        <v>3</v>
      </c>
      <c r="V356" t="s">
        <v>80</v>
      </c>
      <c r="W356" s="5">
        <v>27.73</v>
      </c>
    </row>
    <row r="357" spans="1:23" ht="15" x14ac:dyDescent="0.2">
      <c r="A357" t="s">
        <v>1009</v>
      </c>
      <c r="B357" s="1">
        <f>45913</f>
        <v>45913</v>
      </c>
      <c r="C357" t="s">
        <v>0</v>
      </c>
      <c r="D357">
        <v>108108</v>
      </c>
      <c r="E357" s="2">
        <v>25004517</v>
      </c>
      <c r="F357" s="2">
        <v>1</v>
      </c>
      <c r="G357" t="s">
        <v>1509</v>
      </c>
      <c r="H357" t="s">
        <v>1190</v>
      </c>
      <c r="I357" t="s">
        <v>1812</v>
      </c>
      <c r="J357" t="s">
        <v>1323</v>
      </c>
      <c r="K357" s="3">
        <v>1</v>
      </c>
      <c r="L357" s="4">
        <v>17.2</v>
      </c>
      <c r="O357" t="s">
        <v>2</v>
      </c>
      <c r="P357" t="s">
        <v>621</v>
      </c>
      <c r="Q357" s="2">
        <v>20</v>
      </c>
      <c r="R357" s="5">
        <v>21.5</v>
      </c>
      <c r="S357" s="5">
        <v>4.3</v>
      </c>
      <c r="T357" s="2">
        <v>17</v>
      </c>
      <c r="U357" t="s">
        <v>3</v>
      </c>
      <c r="V357" t="s">
        <v>164</v>
      </c>
      <c r="W357" s="5">
        <v>105</v>
      </c>
    </row>
    <row r="358" spans="1:23" ht="15" x14ac:dyDescent="0.2">
      <c r="A358" t="s">
        <v>1009</v>
      </c>
      <c r="B358" s="1">
        <f>45913</f>
        <v>45913</v>
      </c>
      <c r="C358" t="s">
        <v>0</v>
      </c>
      <c r="D358">
        <v>108108</v>
      </c>
      <c r="E358" s="2">
        <v>25004517</v>
      </c>
      <c r="F358" s="2">
        <v>2</v>
      </c>
      <c r="G358" t="s">
        <v>1510</v>
      </c>
      <c r="H358" t="s">
        <v>1191</v>
      </c>
      <c r="I358" t="s">
        <v>1812</v>
      </c>
      <c r="J358" t="s">
        <v>1323</v>
      </c>
      <c r="K358" s="3">
        <v>1</v>
      </c>
      <c r="L358" s="4">
        <v>17.52</v>
      </c>
      <c r="O358" t="s">
        <v>2</v>
      </c>
      <c r="P358" t="s">
        <v>621</v>
      </c>
      <c r="Q358" s="2">
        <v>20</v>
      </c>
      <c r="R358" s="5">
        <v>21.9</v>
      </c>
      <c r="S358" s="5">
        <v>4.38</v>
      </c>
      <c r="T358" s="2">
        <v>18</v>
      </c>
      <c r="U358" t="s">
        <v>3</v>
      </c>
      <c r="V358" t="s">
        <v>164</v>
      </c>
      <c r="W358" s="5">
        <v>105</v>
      </c>
    </row>
    <row r="359" spans="1:23" ht="15" x14ac:dyDescent="0.2">
      <c r="A359" t="s">
        <v>1009</v>
      </c>
      <c r="B359" s="1">
        <f>45913</f>
        <v>45913</v>
      </c>
      <c r="C359" t="s">
        <v>0</v>
      </c>
      <c r="D359">
        <v>108108</v>
      </c>
      <c r="E359" s="2">
        <v>25004517</v>
      </c>
      <c r="F359" s="2">
        <v>3</v>
      </c>
      <c r="G359" t="s">
        <v>1409</v>
      </c>
      <c r="H359" t="s">
        <v>1091</v>
      </c>
      <c r="I359" t="s">
        <v>1812</v>
      </c>
      <c r="J359" t="s">
        <v>1323</v>
      </c>
      <c r="K359" s="3">
        <v>1</v>
      </c>
      <c r="L359" s="4">
        <v>38.32</v>
      </c>
      <c r="O359" t="s">
        <v>2</v>
      </c>
      <c r="P359" t="s">
        <v>621</v>
      </c>
      <c r="Q359" s="2">
        <v>20</v>
      </c>
      <c r="R359" s="5">
        <v>47.9</v>
      </c>
      <c r="S359" s="5">
        <v>9.58</v>
      </c>
      <c r="T359" s="2">
        <v>38</v>
      </c>
      <c r="U359" t="s">
        <v>3</v>
      </c>
      <c r="V359" t="s">
        <v>164</v>
      </c>
      <c r="W359" s="5">
        <v>105</v>
      </c>
    </row>
    <row r="360" spans="1:23" ht="15" x14ac:dyDescent="0.2">
      <c r="A360" t="s">
        <v>1009</v>
      </c>
      <c r="B360" s="1">
        <f>45913</f>
        <v>45913</v>
      </c>
      <c r="C360" t="s">
        <v>0</v>
      </c>
      <c r="D360">
        <v>108108</v>
      </c>
      <c r="E360" s="2">
        <v>25004517</v>
      </c>
      <c r="F360" s="2">
        <v>4</v>
      </c>
      <c r="G360" t="s">
        <v>1511</v>
      </c>
      <c r="H360" t="s">
        <v>1192</v>
      </c>
      <c r="I360" t="s">
        <v>1812</v>
      </c>
      <c r="J360" t="s">
        <v>1323</v>
      </c>
      <c r="K360" s="3">
        <v>1</v>
      </c>
      <c r="L360" s="4">
        <v>24</v>
      </c>
      <c r="O360" t="s">
        <v>2</v>
      </c>
      <c r="P360" t="s">
        <v>621</v>
      </c>
      <c r="Q360" s="2">
        <v>20</v>
      </c>
      <c r="R360" s="5">
        <v>30</v>
      </c>
      <c r="S360" s="5">
        <v>6</v>
      </c>
      <c r="T360" s="2">
        <v>24</v>
      </c>
      <c r="U360" t="s">
        <v>3</v>
      </c>
      <c r="V360" t="s">
        <v>164</v>
      </c>
      <c r="W360" s="5">
        <v>105</v>
      </c>
    </row>
    <row r="361" spans="1:23" ht="15" x14ac:dyDescent="0.2">
      <c r="A361" t="s">
        <v>1009</v>
      </c>
      <c r="B361" s="1">
        <f>45913</f>
        <v>45913</v>
      </c>
      <c r="C361" t="s">
        <v>0</v>
      </c>
      <c r="D361">
        <v>108108</v>
      </c>
      <c r="E361" s="2">
        <v>25004517</v>
      </c>
      <c r="F361" s="2">
        <v>5</v>
      </c>
      <c r="G361" t="s">
        <v>1512</v>
      </c>
      <c r="H361" t="s">
        <v>1193</v>
      </c>
      <c r="I361" t="s">
        <v>1812</v>
      </c>
      <c r="J361" t="s">
        <v>1323</v>
      </c>
      <c r="K361" s="3">
        <v>1</v>
      </c>
      <c r="L361" s="4">
        <v>27.92</v>
      </c>
      <c r="O361" t="s">
        <v>2</v>
      </c>
      <c r="P361" t="s">
        <v>621</v>
      </c>
      <c r="Q361" s="2">
        <v>20</v>
      </c>
      <c r="R361" s="5">
        <v>34.9</v>
      </c>
      <c r="S361" s="5">
        <v>6.98</v>
      </c>
      <c r="T361" s="2">
        <v>28</v>
      </c>
      <c r="U361" t="s">
        <v>3</v>
      </c>
      <c r="V361" t="s">
        <v>164</v>
      </c>
      <c r="W361" s="5">
        <v>105</v>
      </c>
    </row>
    <row r="362" spans="1:23" ht="15" x14ac:dyDescent="0.2">
      <c r="A362" t="s">
        <v>1009</v>
      </c>
      <c r="B362" s="1">
        <f>45913</f>
        <v>45913</v>
      </c>
      <c r="C362" t="s">
        <v>0</v>
      </c>
      <c r="D362">
        <v>108108</v>
      </c>
      <c r="E362" s="2">
        <v>25004518</v>
      </c>
      <c r="F362" s="2">
        <v>1</v>
      </c>
      <c r="G362" t="s">
        <v>1415</v>
      </c>
      <c r="H362" t="s">
        <v>1097</v>
      </c>
      <c r="I362" t="s">
        <v>1780</v>
      </c>
      <c r="J362" t="s">
        <v>1323</v>
      </c>
      <c r="K362" s="3">
        <v>1</v>
      </c>
      <c r="L362" s="4">
        <v>22.9</v>
      </c>
      <c r="O362" t="s">
        <v>2</v>
      </c>
      <c r="P362" t="s">
        <v>622</v>
      </c>
      <c r="Q362" s="2">
        <v>0</v>
      </c>
      <c r="R362" s="5">
        <v>22.9</v>
      </c>
      <c r="S362" s="5">
        <v>0</v>
      </c>
      <c r="T362" s="2">
        <v>23</v>
      </c>
      <c r="U362" t="s">
        <v>3</v>
      </c>
      <c r="V362" t="s">
        <v>133</v>
      </c>
      <c r="W362" s="5">
        <v>19.239999999999998</v>
      </c>
    </row>
    <row r="363" spans="1:23" ht="15" x14ac:dyDescent="0.2">
      <c r="A363" t="s">
        <v>1009</v>
      </c>
      <c r="B363" s="1">
        <f>45913</f>
        <v>45913</v>
      </c>
      <c r="C363" t="s">
        <v>0</v>
      </c>
      <c r="D363">
        <v>108108</v>
      </c>
      <c r="E363" s="2">
        <v>25004519</v>
      </c>
      <c r="F363" s="2">
        <v>1</v>
      </c>
      <c r="G363" t="s">
        <v>1335</v>
      </c>
      <c r="H363" t="s">
        <v>1017</v>
      </c>
      <c r="I363" t="s">
        <v>1647</v>
      </c>
      <c r="J363" t="s">
        <v>1323</v>
      </c>
      <c r="K363" s="3">
        <v>1</v>
      </c>
      <c r="L363" s="4">
        <v>26.9</v>
      </c>
      <c r="O363" t="s">
        <v>2</v>
      </c>
      <c r="P363" t="s">
        <v>623</v>
      </c>
      <c r="Q363" s="2">
        <v>0</v>
      </c>
      <c r="R363" s="5">
        <v>26.9</v>
      </c>
      <c r="S363" s="5">
        <v>0</v>
      </c>
      <c r="T363" s="2">
        <v>27</v>
      </c>
      <c r="U363" t="s">
        <v>3</v>
      </c>
      <c r="V363" t="s">
        <v>1322</v>
      </c>
      <c r="W363" s="5">
        <v>22.61</v>
      </c>
    </row>
    <row r="364" spans="1:23" ht="15" x14ac:dyDescent="0.2">
      <c r="A364" t="s">
        <v>1009</v>
      </c>
      <c r="B364" s="1">
        <f>45913</f>
        <v>45913</v>
      </c>
      <c r="C364" t="s">
        <v>0</v>
      </c>
      <c r="D364">
        <v>108108</v>
      </c>
      <c r="E364" s="2">
        <v>25004520</v>
      </c>
      <c r="F364" s="2">
        <v>1</v>
      </c>
      <c r="G364" t="s">
        <v>1368</v>
      </c>
      <c r="H364" t="s">
        <v>1050</v>
      </c>
      <c r="I364" t="s">
        <v>1813</v>
      </c>
      <c r="J364" t="s">
        <v>1323</v>
      </c>
      <c r="K364" s="3">
        <v>1</v>
      </c>
      <c r="L364" s="4">
        <v>34</v>
      </c>
      <c r="O364" t="s">
        <v>2</v>
      </c>
      <c r="P364" t="s">
        <v>624</v>
      </c>
      <c r="Q364" s="2">
        <v>0</v>
      </c>
      <c r="R364" s="5">
        <v>34</v>
      </c>
      <c r="S364" s="5">
        <v>0</v>
      </c>
      <c r="T364" s="2">
        <v>34</v>
      </c>
      <c r="U364" t="s">
        <v>3</v>
      </c>
      <c r="V364" t="s">
        <v>165</v>
      </c>
      <c r="W364" s="5">
        <v>28.57</v>
      </c>
    </row>
    <row r="365" spans="1:23" ht="15" x14ac:dyDescent="0.2">
      <c r="A365" t="s">
        <v>1009</v>
      </c>
      <c r="B365" s="1">
        <f>45913</f>
        <v>45913</v>
      </c>
      <c r="C365" t="s">
        <v>0</v>
      </c>
      <c r="D365">
        <v>108108</v>
      </c>
      <c r="E365" s="2">
        <v>25004521</v>
      </c>
      <c r="F365" s="2">
        <v>1</v>
      </c>
      <c r="G365" t="s">
        <v>1513</v>
      </c>
      <c r="H365" t="s">
        <v>1194</v>
      </c>
      <c r="I365" t="s">
        <v>1647</v>
      </c>
      <c r="J365" t="s">
        <v>1323</v>
      </c>
      <c r="K365" s="3">
        <v>1</v>
      </c>
      <c r="L365" s="4">
        <v>9</v>
      </c>
      <c r="O365" t="s">
        <v>2</v>
      </c>
      <c r="P365" t="s">
        <v>625</v>
      </c>
      <c r="Q365" s="2">
        <v>40</v>
      </c>
      <c r="R365" s="5">
        <v>15</v>
      </c>
      <c r="S365" s="5">
        <v>6</v>
      </c>
      <c r="T365" s="2">
        <v>9</v>
      </c>
      <c r="U365" t="s">
        <v>3</v>
      </c>
      <c r="V365" t="s">
        <v>1322</v>
      </c>
      <c r="W365" s="5">
        <v>7.56</v>
      </c>
    </row>
    <row r="366" spans="1:23" ht="15" x14ac:dyDescent="0.2">
      <c r="A366" t="s">
        <v>1009</v>
      </c>
      <c r="B366" s="1">
        <f>45913</f>
        <v>45913</v>
      </c>
      <c r="C366" t="s">
        <v>0</v>
      </c>
      <c r="D366">
        <v>108108</v>
      </c>
      <c r="E366" s="2">
        <v>25004522</v>
      </c>
      <c r="F366" s="2">
        <v>1</v>
      </c>
      <c r="G366" t="s">
        <v>1469</v>
      </c>
      <c r="H366" t="s">
        <v>1150</v>
      </c>
      <c r="I366" t="s">
        <v>1743</v>
      </c>
      <c r="J366" t="s">
        <v>1323</v>
      </c>
      <c r="K366" s="3">
        <v>1</v>
      </c>
      <c r="L366" s="4">
        <v>27.5</v>
      </c>
      <c r="O366" t="s">
        <v>2</v>
      </c>
      <c r="P366" t="s">
        <v>626</v>
      </c>
      <c r="Q366" s="2">
        <v>0</v>
      </c>
      <c r="R366" s="5">
        <v>27.5</v>
      </c>
      <c r="S366" s="5">
        <v>0</v>
      </c>
      <c r="T366" s="2">
        <v>28</v>
      </c>
      <c r="U366" t="s">
        <v>3</v>
      </c>
      <c r="V366" t="s">
        <v>98</v>
      </c>
      <c r="W366" s="5">
        <v>23.11</v>
      </c>
    </row>
    <row r="367" spans="1:23" ht="15" x14ac:dyDescent="0.2">
      <c r="A367" t="s">
        <v>1009</v>
      </c>
      <c r="B367" s="1">
        <f>45913</f>
        <v>45913</v>
      </c>
      <c r="C367" t="s">
        <v>0</v>
      </c>
      <c r="D367">
        <v>108108</v>
      </c>
      <c r="E367" s="2">
        <v>25004523</v>
      </c>
      <c r="F367" s="2">
        <v>1</v>
      </c>
      <c r="G367" t="s">
        <v>1514</v>
      </c>
      <c r="H367" t="s">
        <v>1195</v>
      </c>
      <c r="I367" t="s">
        <v>1647</v>
      </c>
      <c r="J367" t="s">
        <v>1323</v>
      </c>
      <c r="K367" s="3">
        <v>1</v>
      </c>
      <c r="L367" s="4">
        <v>17.899999999999999</v>
      </c>
      <c r="O367" t="s">
        <v>2</v>
      </c>
      <c r="P367" t="s">
        <v>627</v>
      </c>
      <c r="Q367" s="2">
        <v>0</v>
      </c>
      <c r="R367" s="5">
        <v>17.899999999999999</v>
      </c>
      <c r="S367" s="5">
        <v>0</v>
      </c>
      <c r="T367" s="2">
        <v>18</v>
      </c>
      <c r="U367" t="s">
        <v>3</v>
      </c>
      <c r="V367" t="s">
        <v>1322</v>
      </c>
      <c r="W367" s="5">
        <v>15.04</v>
      </c>
    </row>
    <row r="368" spans="1:23" ht="15" x14ac:dyDescent="0.2">
      <c r="A368" t="s">
        <v>1009</v>
      </c>
      <c r="B368" s="1">
        <f>45913</f>
        <v>45913</v>
      </c>
      <c r="C368" t="s">
        <v>0</v>
      </c>
      <c r="D368">
        <v>108108</v>
      </c>
      <c r="E368" s="2">
        <v>25004524</v>
      </c>
      <c r="F368" s="2">
        <v>1</v>
      </c>
      <c r="G368" t="s">
        <v>1515</v>
      </c>
      <c r="H368" t="s">
        <v>1012</v>
      </c>
      <c r="I368" t="s">
        <v>1814</v>
      </c>
      <c r="J368" t="s">
        <v>1323</v>
      </c>
      <c r="K368" s="3">
        <v>1</v>
      </c>
      <c r="L368" s="4">
        <v>36.9</v>
      </c>
      <c r="O368" t="s">
        <v>2</v>
      </c>
      <c r="P368" t="s">
        <v>628</v>
      </c>
      <c r="Q368" s="2">
        <v>0</v>
      </c>
      <c r="R368" s="5">
        <v>36.9</v>
      </c>
      <c r="S368" s="5">
        <v>0</v>
      </c>
      <c r="T368" s="2">
        <v>37</v>
      </c>
      <c r="U368" t="s">
        <v>3</v>
      </c>
      <c r="V368" t="s">
        <v>166</v>
      </c>
      <c r="W368" s="5">
        <v>31.01</v>
      </c>
    </row>
    <row r="369" spans="1:23" ht="15" x14ac:dyDescent="0.2">
      <c r="A369" t="s">
        <v>1009</v>
      </c>
      <c r="B369" s="1">
        <f>45913</f>
        <v>45913</v>
      </c>
      <c r="C369" t="s">
        <v>0</v>
      </c>
      <c r="D369">
        <v>108108</v>
      </c>
      <c r="E369" s="2">
        <v>25004525</v>
      </c>
      <c r="F369" s="2">
        <v>1</v>
      </c>
      <c r="G369" t="s">
        <v>1334</v>
      </c>
      <c r="H369" t="s">
        <v>1016</v>
      </c>
      <c r="I369" t="s">
        <v>1704</v>
      </c>
      <c r="J369" t="s">
        <v>1323</v>
      </c>
      <c r="K369" s="3">
        <v>1</v>
      </c>
      <c r="L369" s="4">
        <v>21.9</v>
      </c>
      <c r="O369" t="s">
        <v>2</v>
      </c>
      <c r="P369" t="s">
        <v>629</v>
      </c>
      <c r="Q369" s="2">
        <v>0</v>
      </c>
      <c r="R369" s="5">
        <v>21.9</v>
      </c>
      <c r="S369" s="5">
        <v>0</v>
      </c>
      <c r="T369" s="2">
        <v>22</v>
      </c>
      <c r="U369" t="s">
        <v>3</v>
      </c>
      <c r="V369" t="s">
        <v>60</v>
      </c>
      <c r="W369" s="5">
        <v>22.6</v>
      </c>
    </row>
    <row r="370" spans="1:23" ht="15" x14ac:dyDescent="0.2">
      <c r="A370" t="s">
        <v>1009</v>
      </c>
      <c r="B370" s="1">
        <f>45913</f>
        <v>45913</v>
      </c>
      <c r="C370" t="s">
        <v>0</v>
      </c>
      <c r="D370">
        <v>108108</v>
      </c>
      <c r="E370" s="2">
        <v>25004525</v>
      </c>
      <c r="F370" s="2">
        <v>2</v>
      </c>
      <c r="G370" t="s">
        <v>1332</v>
      </c>
      <c r="H370" t="s">
        <v>362</v>
      </c>
      <c r="I370" t="s">
        <v>1704</v>
      </c>
      <c r="J370" t="s">
        <v>1323</v>
      </c>
      <c r="K370" s="3">
        <v>1</v>
      </c>
      <c r="L370" s="4">
        <v>5</v>
      </c>
      <c r="O370" t="s">
        <v>2</v>
      </c>
      <c r="P370" t="s">
        <v>629</v>
      </c>
      <c r="Q370" s="2">
        <v>0</v>
      </c>
      <c r="R370" s="5">
        <v>5</v>
      </c>
      <c r="S370" s="5">
        <v>0</v>
      </c>
      <c r="T370" s="2">
        <v>5</v>
      </c>
      <c r="U370" t="s">
        <v>3</v>
      </c>
      <c r="V370" t="s">
        <v>60</v>
      </c>
      <c r="W370" s="5">
        <v>22.6</v>
      </c>
    </row>
    <row r="371" spans="1:23" ht="15" x14ac:dyDescent="0.2">
      <c r="A371" t="s">
        <v>1009</v>
      </c>
      <c r="B371" s="1">
        <f>45913</f>
        <v>45913</v>
      </c>
      <c r="C371" t="s">
        <v>0</v>
      </c>
      <c r="D371">
        <v>108108</v>
      </c>
      <c r="E371" s="2">
        <v>25004526</v>
      </c>
      <c r="F371" s="2">
        <v>1</v>
      </c>
      <c r="G371" t="s">
        <v>1516</v>
      </c>
      <c r="H371" t="s">
        <v>1196</v>
      </c>
      <c r="I371" t="s">
        <v>1815</v>
      </c>
      <c r="J371" t="s">
        <v>1323</v>
      </c>
      <c r="K371" s="3">
        <v>1</v>
      </c>
      <c r="L371" s="4">
        <v>19.5</v>
      </c>
      <c r="O371" t="s">
        <v>2</v>
      </c>
      <c r="P371" t="s">
        <v>630</v>
      </c>
      <c r="Q371" s="2">
        <v>0</v>
      </c>
      <c r="R371" s="5">
        <v>19.5</v>
      </c>
      <c r="S371" s="5">
        <v>0</v>
      </c>
      <c r="T371" s="2">
        <v>20</v>
      </c>
      <c r="U371" t="s">
        <v>3</v>
      </c>
      <c r="V371" t="s">
        <v>167</v>
      </c>
      <c r="W371" s="5">
        <v>16.39</v>
      </c>
    </row>
    <row r="372" spans="1:23" ht="15" x14ac:dyDescent="0.2">
      <c r="A372" t="s">
        <v>1009</v>
      </c>
      <c r="B372" s="1">
        <f>45913</f>
        <v>45913</v>
      </c>
      <c r="C372" t="s">
        <v>0</v>
      </c>
      <c r="D372">
        <v>108108</v>
      </c>
      <c r="E372" s="2">
        <v>25004527</v>
      </c>
      <c r="F372" s="2">
        <v>1</v>
      </c>
      <c r="G372" t="s">
        <v>1488</v>
      </c>
      <c r="H372" t="s">
        <v>1169</v>
      </c>
      <c r="I372" t="s">
        <v>1816</v>
      </c>
      <c r="J372" t="s">
        <v>1323</v>
      </c>
      <c r="K372" s="3">
        <v>1</v>
      </c>
      <c r="L372" s="4">
        <v>17.899999999999999</v>
      </c>
      <c r="O372" t="s">
        <v>2</v>
      </c>
      <c r="P372" t="s">
        <v>631</v>
      </c>
      <c r="Q372" s="2">
        <v>0</v>
      </c>
      <c r="R372" s="5">
        <v>17.899999999999999</v>
      </c>
      <c r="S372" s="5">
        <v>0</v>
      </c>
      <c r="T372" s="2">
        <v>18</v>
      </c>
      <c r="U372" t="s">
        <v>3</v>
      </c>
      <c r="V372" t="s">
        <v>168</v>
      </c>
      <c r="W372" s="5">
        <v>15.04</v>
      </c>
    </row>
    <row r="373" spans="1:23" ht="15" x14ac:dyDescent="0.2">
      <c r="A373" t="s">
        <v>1009</v>
      </c>
      <c r="B373" s="1">
        <f>45913</f>
        <v>45913</v>
      </c>
      <c r="C373" t="s">
        <v>0</v>
      </c>
      <c r="D373">
        <v>108108</v>
      </c>
      <c r="E373" s="2">
        <v>25004528</v>
      </c>
      <c r="F373" s="2">
        <v>1</v>
      </c>
      <c r="G373" t="s">
        <v>1517</v>
      </c>
      <c r="H373" t="s">
        <v>1197</v>
      </c>
      <c r="I373" t="s">
        <v>1786</v>
      </c>
      <c r="J373" t="s">
        <v>1323</v>
      </c>
      <c r="K373" s="3">
        <v>1</v>
      </c>
      <c r="L373" s="4">
        <v>151.19999999999999</v>
      </c>
      <c r="O373" t="s">
        <v>2</v>
      </c>
      <c r="P373" t="s">
        <v>632</v>
      </c>
      <c r="Q373" s="2">
        <v>20</v>
      </c>
      <c r="R373" s="5">
        <v>189</v>
      </c>
      <c r="S373" s="5">
        <v>37.799999999999997</v>
      </c>
      <c r="T373" s="2">
        <v>151</v>
      </c>
      <c r="U373" t="s">
        <v>3</v>
      </c>
      <c r="V373" t="s">
        <v>138</v>
      </c>
      <c r="W373" s="5">
        <v>273.36</v>
      </c>
    </row>
    <row r="374" spans="1:23" ht="15" x14ac:dyDescent="0.2">
      <c r="A374" t="s">
        <v>1009</v>
      </c>
      <c r="B374" s="1">
        <f>45913</f>
        <v>45913</v>
      </c>
      <c r="C374" t="s">
        <v>0</v>
      </c>
      <c r="D374">
        <v>108108</v>
      </c>
      <c r="E374" s="2">
        <v>25004528</v>
      </c>
      <c r="F374" s="2">
        <v>2</v>
      </c>
      <c r="G374" t="s">
        <v>1518</v>
      </c>
      <c r="H374" t="s">
        <v>1198</v>
      </c>
      <c r="I374" t="s">
        <v>1786</v>
      </c>
      <c r="J374" t="s">
        <v>1323</v>
      </c>
      <c r="K374" s="3">
        <v>1</v>
      </c>
      <c r="L374" s="4">
        <v>151.19999999999999</v>
      </c>
      <c r="O374" t="s">
        <v>2</v>
      </c>
      <c r="P374" t="s">
        <v>632</v>
      </c>
      <c r="Q374" s="2">
        <v>20</v>
      </c>
      <c r="R374" s="5">
        <v>189</v>
      </c>
      <c r="S374" s="5">
        <v>37.799999999999997</v>
      </c>
      <c r="T374" s="2">
        <v>151</v>
      </c>
      <c r="U374" t="s">
        <v>3</v>
      </c>
      <c r="V374" t="s">
        <v>138</v>
      </c>
      <c r="W374" s="5">
        <v>273.36</v>
      </c>
    </row>
    <row r="375" spans="1:23" ht="15" x14ac:dyDescent="0.2">
      <c r="A375" t="s">
        <v>1009</v>
      </c>
      <c r="B375" s="1">
        <f>45913</f>
        <v>45913</v>
      </c>
      <c r="C375" t="s">
        <v>0</v>
      </c>
      <c r="D375">
        <v>108108</v>
      </c>
      <c r="E375" s="2">
        <v>25004528</v>
      </c>
      <c r="F375" s="2">
        <v>3</v>
      </c>
      <c r="G375" t="s">
        <v>1415</v>
      </c>
      <c r="H375" t="s">
        <v>1097</v>
      </c>
      <c r="I375" t="s">
        <v>1786</v>
      </c>
      <c r="J375" t="s">
        <v>1323</v>
      </c>
      <c r="K375" s="3">
        <v>1</v>
      </c>
      <c r="L375" s="4">
        <v>22.9</v>
      </c>
      <c r="O375" t="s">
        <v>2</v>
      </c>
      <c r="P375" t="s">
        <v>632</v>
      </c>
      <c r="Q375" s="2">
        <v>0</v>
      </c>
      <c r="R375" s="5">
        <v>22.9</v>
      </c>
      <c r="S375" s="5">
        <v>0</v>
      </c>
      <c r="T375" s="2">
        <v>23</v>
      </c>
      <c r="U375" t="s">
        <v>3</v>
      </c>
      <c r="V375" t="s">
        <v>138</v>
      </c>
      <c r="W375" s="5">
        <v>273.36</v>
      </c>
    </row>
    <row r="376" spans="1:23" ht="15" x14ac:dyDescent="0.2">
      <c r="A376" t="s">
        <v>1009</v>
      </c>
      <c r="B376" s="1">
        <f>45913</f>
        <v>45913</v>
      </c>
      <c r="C376" t="s">
        <v>0</v>
      </c>
      <c r="D376">
        <v>108108</v>
      </c>
      <c r="E376" s="2">
        <v>25004529</v>
      </c>
      <c r="F376" s="2">
        <v>1</v>
      </c>
      <c r="G376" t="s">
        <v>1368</v>
      </c>
      <c r="H376" t="s">
        <v>1050</v>
      </c>
      <c r="I376" t="s">
        <v>1809</v>
      </c>
      <c r="J376" t="s">
        <v>1323</v>
      </c>
      <c r="K376" s="3">
        <v>1</v>
      </c>
      <c r="L376" s="4">
        <v>34</v>
      </c>
      <c r="O376" t="s">
        <v>2</v>
      </c>
      <c r="P376" t="s">
        <v>633</v>
      </c>
      <c r="Q376" s="2">
        <v>0</v>
      </c>
      <c r="R376" s="5">
        <v>34</v>
      </c>
      <c r="S376" s="5">
        <v>0</v>
      </c>
      <c r="T376" s="2">
        <v>34</v>
      </c>
      <c r="U376" t="s">
        <v>3</v>
      </c>
      <c r="V376" t="s">
        <v>161</v>
      </c>
      <c r="W376" s="5">
        <v>28.57</v>
      </c>
    </row>
    <row r="377" spans="1:23" ht="15" x14ac:dyDescent="0.2">
      <c r="A377" t="s">
        <v>1009</v>
      </c>
      <c r="B377" s="1">
        <f>45913</f>
        <v>45913</v>
      </c>
      <c r="C377" t="s">
        <v>0</v>
      </c>
      <c r="D377">
        <v>108108</v>
      </c>
      <c r="E377" s="2">
        <v>25004530</v>
      </c>
      <c r="F377" s="2">
        <v>1</v>
      </c>
      <c r="G377" t="s">
        <v>1519</v>
      </c>
      <c r="H377" t="s">
        <v>1199</v>
      </c>
      <c r="I377" t="s">
        <v>1647</v>
      </c>
      <c r="J377" t="s">
        <v>1323</v>
      </c>
      <c r="K377" s="3">
        <v>1</v>
      </c>
      <c r="L377" s="4">
        <v>199.2</v>
      </c>
      <c r="O377" t="s">
        <v>2</v>
      </c>
      <c r="P377" t="s">
        <v>634</v>
      </c>
      <c r="Q377" s="2">
        <v>20</v>
      </c>
      <c r="R377" s="5">
        <v>249</v>
      </c>
      <c r="S377" s="5">
        <v>49.8</v>
      </c>
      <c r="T377" s="2">
        <v>199</v>
      </c>
      <c r="U377" t="s">
        <v>3</v>
      </c>
      <c r="V377" t="s">
        <v>1322</v>
      </c>
      <c r="W377" s="5">
        <v>167.39</v>
      </c>
    </row>
    <row r="378" spans="1:23" ht="15" x14ac:dyDescent="0.2">
      <c r="A378" t="s">
        <v>1009</v>
      </c>
      <c r="B378" s="1">
        <f>45913</f>
        <v>45913</v>
      </c>
      <c r="C378" t="s">
        <v>0</v>
      </c>
      <c r="D378">
        <v>108108</v>
      </c>
      <c r="E378" s="2">
        <v>25004531</v>
      </c>
      <c r="F378" s="2">
        <v>1</v>
      </c>
      <c r="G378" t="s">
        <v>1520</v>
      </c>
      <c r="H378" t="s">
        <v>1200</v>
      </c>
      <c r="I378" t="s">
        <v>1817</v>
      </c>
      <c r="J378" t="s">
        <v>1323</v>
      </c>
      <c r="K378" s="3">
        <v>1</v>
      </c>
      <c r="L378" s="4">
        <v>20</v>
      </c>
      <c r="O378" t="s">
        <v>2</v>
      </c>
      <c r="P378" t="s">
        <v>635</v>
      </c>
      <c r="Q378" s="2">
        <v>0</v>
      </c>
      <c r="R378" s="5">
        <v>20</v>
      </c>
      <c r="S378" s="5">
        <v>0</v>
      </c>
      <c r="T378" s="2">
        <v>20</v>
      </c>
      <c r="U378" t="s">
        <v>3</v>
      </c>
      <c r="V378" t="s">
        <v>169</v>
      </c>
      <c r="W378" s="5">
        <v>31.93</v>
      </c>
    </row>
    <row r="379" spans="1:23" ht="15" x14ac:dyDescent="0.2">
      <c r="A379" t="s">
        <v>1009</v>
      </c>
      <c r="B379" s="1">
        <f>45913</f>
        <v>45913</v>
      </c>
      <c r="C379" t="s">
        <v>0</v>
      </c>
      <c r="D379">
        <v>108108</v>
      </c>
      <c r="E379" s="2">
        <v>25004531</v>
      </c>
      <c r="F379" s="2">
        <v>2</v>
      </c>
      <c r="G379" t="s">
        <v>1513</v>
      </c>
      <c r="H379" t="s">
        <v>1194</v>
      </c>
      <c r="I379" t="s">
        <v>1817</v>
      </c>
      <c r="J379" t="s">
        <v>1323</v>
      </c>
      <c r="K379" s="3">
        <v>1</v>
      </c>
      <c r="L379" s="4">
        <v>9</v>
      </c>
      <c r="O379" t="s">
        <v>2</v>
      </c>
      <c r="P379" t="s">
        <v>635</v>
      </c>
      <c r="Q379" s="2">
        <v>40</v>
      </c>
      <c r="R379" s="5">
        <v>15</v>
      </c>
      <c r="S379" s="5">
        <v>6</v>
      </c>
      <c r="T379" s="2">
        <v>9</v>
      </c>
      <c r="U379" t="s">
        <v>3</v>
      </c>
      <c r="V379" t="s">
        <v>169</v>
      </c>
      <c r="W379" s="5">
        <v>31.93</v>
      </c>
    </row>
    <row r="380" spans="1:23" ht="15" x14ac:dyDescent="0.2">
      <c r="A380" t="s">
        <v>1009</v>
      </c>
      <c r="B380" s="1">
        <f>45913</f>
        <v>45913</v>
      </c>
      <c r="C380" t="s">
        <v>0</v>
      </c>
      <c r="D380">
        <v>108108</v>
      </c>
      <c r="E380" s="2">
        <v>25004531</v>
      </c>
      <c r="F380" s="2">
        <v>3</v>
      </c>
      <c r="G380" t="s">
        <v>1521</v>
      </c>
      <c r="H380" t="s">
        <v>1201</v>
      </c>
      <c r="I380" t="s">
        <v>1817</v>
      </c>
      <c r="J380" t="s">
        <v>1323</v>
      </c>
      <c r="K380" s="3">
        <v>1</v>
      </c>
      <c r="L380" s="4">
        <v>9</v>
      </c>
      <c r="O380" t="s">
        <v>2</v>
      </c>
      <c r="P380" t="s">
        <v>635</v>
      </c>
      <c r="Q380" s="2">
        <v>40</v>
      </c>
      <c r="R380" s="5">
        <v>15</v>
      </c>
      <c r="S380" s="5">
        <v>6</v>
      </c>
      <c r="T380" s="2">
        <v>9</v>
      </c>
      <c r="U380" t="s">
        <v>3</v>
      </c>
      <c r="V380" t="s">
        <v>169</v>
      </c>
      <c r="W380" s="5">
        <v>31.93</v>
      </c>
    </row>
    <row r="381" spans="1:23" ht="15" x14ac:dyDescent="0.2">
      <c r="A381" t="s">
        <v>1009</v>
      </c>
      <c r="B381" s="1">
        <f>45913</f>
        <v>45913</v>
      </c>
      <c r="C381" t="s">
        <v>0</v>
      </c>
      <c r="D381">
        <v>108108</v>
      </c>
      <c r="E381" s="2">
        <v>25004532</v>
      </c>
      <c r="F381" s="2">
        <v>1</v>
      </c>
      <c r="G381" t="s">
        <v>1522</v>
      </c>
      <c r="H381" t="s">
        <v>1202</v>
      </c>
      <c r="I381" t="s">
        <v>1647</v>
      </c>
      <c r="J381" t="s">
        <v>1323</v>
      </c>
      <c r="K381" s="3">
        <v>1</v>
      </c>
      <c r="L381" s="4">
        <v>25</v>
      </c>
      <c r="O381" t="s">
        <v>2</v>
      </c>
      <c r="P381" t="s">
        <v>636</v>
      </c>
      <c r="Q381" s="2">
        <v>0</v>
      </c>
      <c r="R381" s="5">
        <v>25</v>
      </c>
      <c r="S381" s="5">
        <v>0</v>
      </c>
      <c r="T381" s="2">
        <v>25</v>
      </c>
      <c r="U381" t="s">
        <v>3</v>
      </c>
      <c r="V381" t="s">
        <v>1322</v>
      </c>
      <c r="W381" s="5">
        <v>21.01</v>
      </c>
    </row>
    <row r="382" spans="1:23" ht="15" x14ac:dyDescent="0.2">
      <c r="A382" t="s">
        <v>1009</v>
      </c>
      <c r="B382" s="1">
        <f>45913</f>
        <v>45913</v>
      </c>
      <c r="C382" t="s">
        <v>0</v>
      </c>
      <c r="D382">
        <v>108108</v>
      </c>
      <c r="E382" s="2">
        <v>25004533</v>
      </c>
      <c r="F382" s="2">
        <v>1</v>
      </c>
      <c r="G382" t="s">
        <v>1367</v>
      </c>
      <c r="H382" t="s">
        <v>1049</v>
      </c>
      <c r="I382" t="s">
        <v>1818</v>
      </c>
      <c r="J382" t="s">
        <v>1323</v>
      </c>
      <c r="K382" s="3">
        <v>1</v>
      </c>
      <c r="L382" s="4">
        <v>27.9</v>
      </c>
      <c r="O382" t="s">
        <v>2</v>
      </c>
      <c r="P382" t="s">
        <v>637</v>
      </c>
      <c r="Q382" s="2">
        <v>0</v>
      </c>
      <c r="R382" s="5">
        <v>27.9</v>
      </c>
      <c r="S382" s="5">
        <v>0</v>
      </c>
      <c r="T382" s="2">
        <v>28</v>
      </c>
      <c r="U382" t="s">
        <v>3</v>
      </c>
      <c r="V382" t="s">
        <v>170</v>
      </c>
      <c r="W382" s="5">
        <v>23.45</v>
      </c>
    </row>
    <row r="383" spans="1:23" ht="15" x14ac:dyDescent="0.2">
      <c r="A383" t="s">
        <v>1009</v>
      </c>
      <c r="B383" s="1">
        <f>45913</f>
        <v>45913</v>
      </c>
      <c r="C383" t="s">
        <v>0</v>
      </c>
      <c r="D383">
        <v>108108</v>
      </c>
      <c r="E383" s="2">
        <v>25004534</v>
      </c>
      <c r="F383" s="2">
        <v>1</v>
      </c>
      <c r="G383" t="s">
        <v>1523</v>
      </c>
      <c r="H383" t="s">
        <v>1203</v>
      </c>
      <c r="I383" t="s">
        <v>1819</v>
      </c>
      <c r="J383" t="s">
        <v>1324</v>
      </c>
      <c r="K383" s="3">
        <v>1</v>
      </c>
      <c r="L383" s="4">
        <v>6</v>
      </c>
      <c r="O383" t="s">
        <v>2</v>
      </c>
      <c r="P383" t="s">
        <v>638</v>
      </c>
      <c r="Q383" s="2">
        <v>0</v>
      </c>
      <c r="R383" s="5">
        <v>6</v>
      </c>
      <c r="S383" s="5">
        <v>0</v>
      </c>
      <c r="T383" s="2">
        <v>6</v>
      </c>
      <c r="U383" t="s">
        <v>3</v>
      </c>
      <c r="V383" t="s">
        <v>171</v>
      </c>
      <c r="W383" s="5">
        <v>27.64</v>
      </c>
    </row>
    <row r="384" spans="1:23" ht="15" x14ac:dyDescent="0.2">
      <c r="A384" t="s">
        <v>1009</v>
      </c>
      <c r="B384" s="1">
        <f>45913</f>
        <v>45913</v>
      </c>
      <c r="C384" t="s">
        <v>0</v>
      </c>
      <c r="D384">
        <v>108108</v>
      </c>
      <c r="E384" s="2">
        <v>25004534</v>
      </c>
      <c r="F384" s="2">
        <v>2</v>
      </c>
      <c r="G384" t="s">
        <v>1332</v>
      </c>
      <c r="H384" t="s">
        <v>362</v>
      </c>
      <c r="I384" t="s">
        <v>1819</v>
      </c>
      <c r="J384" t="s">
        <v>1324</v>
      </c>
      <c r="K384" s="3">
        <v>1</v>
      </c>
      <c r="L384" s="4">
        <v>5</v>
      </c>
      <c r="O384" t="s">
        <v>2</v>
      </c>
      <c r="P384" t="s">
        <v>638</v>
      </c>
      <c r="Q384" s="2">
        <v>0</v>
      </c>
      <c r="R384" s="5">
        <v>5</v>
      </c>
      <c r="S384" s="5">
        <v>0</v>
      </c>
      <c r="T384" s="2">
        <v>5</v>
      </c>
      <c r="U384" t="s">
        <v>3</v>
      </c>
      <c r="V384" t="s">
        <v>171</v>
      </c>
      <c r="W384" s="5">
        <v>27.64</v>
      </c>
    </row>
    <row r="385" spans="1:23" ht="15" x14ac:dyDescent="0.2">
      <c r="A385" t="s">
        <v>1009</v>
      </c>
      <c r="B385" s="1">
        <f>45913</f>
        <v>45913</v>
      </c>
      <c r="C385" t="s">
        <v>0</v>
      </c>
      <c r="D385">
        <v>108108</v>
      </c>
      <c r="E385" s="2">
        <v>25004534</v>
      </c>
      <c r="F385" s="2">
        <v>3</v>
      </c>
      <c r="G385" t="s">
        <v>1524</v>
      </c>
      <c r="H385" t="s">
        <v>1204</v>
      </c>
      <c r="I385" t="s">
        <v>1819</v>
      </c>
      <c r="J385" t="s">
        <v>1324</v>
      </c>
      <c r="K385" s="3">
        <v>1</v>
      </c>
      <c r="L385" s="4">
        <v>21.9</v>
      </c>
      <c r="O385" t="s">
        <v>2</v>
      </c>
      <c r="P385" t="s">
        <v>638</v>
      </c>
      <c r="Q385" s="2">
        <v>0</v>
      </c>
      <c r="R385" s="5">
        <v>21.9</v>
      </c>
      <c r="S385" s="5">
        <v>0</v>
      </c>
      <c r="T385" s="2">
        <v>22</v>
      </c>
      <c r="U385" t="s">
        <v>3</v>
      </c>
      <c r="V385" t="s">
        <v>171</v>
      </c>
      <c r="W385" s="5">
        <v>27.64</v>
      </c>
    </row>
    <row r="386" spans="1:23" ht="15" x14ac:dyDescent="0.2">
      <c r="A386" t="s">
        <v>1009</v>
      </c>
      <c r="B386" s="1">
        <f>45913</f>
        <v>45913</v>
      </c>
      <c r="C386" t="s">
        <v>0</v>
      </c>
      <c r="D386">
        <v>108108</v>
      </c>
      <c r="E386" s="2">
        <v>25004535</v>
      </c>
      <c r="F386" s="2">
        <v>1</v>
      </c>
      <c r="G386" t="s">
        <v>1525</v>
      </c>
      <c r="H386" t="s">
        <v>1205</v>
      </c>
      <c r="I386" t="s">
        <v>1820</v>
      </c>
      <c r="J386" t="s">
        <v>1324</v>
      </c>
      <c r="K386" s="3">
        <v>2</v>
      </c>
      <c r="L386" s="4">
        <v>36.65</v>
      </c>
      <c r="O386" t="s">
        <v>2</v>
      </c>
      <c r="P386" t="s">
        <v>639</v>
      </c>
      <c r="Q386" s="2">
        <v>20</v>
      </c>
      <c r="R386" s="5">
        <v>22.9</v>
      </c>
      <c r="S386" s="5">
        <v>9.15</v>
      </c>
      <c r="T386" s="2">
        <v>18</v>
      </c>
      <c r="U386" t="s">
        <v>3</v>
      </c>
      <c r="V386" t="s">
        <v>172</v>
      </c>
      <c r="W386" s="5">
        <v>77.72</v>
      </c>
    </row>
    <row r="387" spans="1:23" ht="15" x14ac:dyDescent="0.2">
      <c r="A387" t="s">
        <v>1009</v>
      </c>
      <c r="B387" s="1">
        <f>45913</f>
        <v>45913</v>
      </c>
      <c r="C387" t="s">
        <v>0</v>
      </c>
      <c r="D387">
        <v>108108</v>
      </c>
      <c r="E387" s="2">
        <v>25004535</v>
      </c>
      <c r="F387" s="2">
        <v>2</v>
      </c>
      <c r="G387" t="s">
        <v>1399</v>
      </c>
      <c r="H387" t="s">
        <v>1081</v>
      </c>
      <c r="I387" t="s">
        <v>1820</v>
      </c>
      <c r="J387" t="s">
        <v>1324</v>
      </c>
      <c r="K387" s="3">
        <v>2</v>
      </c>
      <c r="L387" s="4">
        <v>30.24</v>
      </c>
      <c r="O387" t="s">
        <v>2</v>
      </c>
      <c r="P387" t="s">
        <v>639</v>
      </c>
      <c r="Q387" s="2">
        <v>20</v>
      </c>
      <c r="R387" s="5">
        <v>18.899999999999999</v>
      </c>
      <c r="S387" s="5">
        <v>7.56</v>
      </c>
      <c r="T387" s="2">
        <v>15</v>
      </c>
      <c r="U387" t="s">
        <v>3</v>
      </c>
      <c r="V387" t="s">
        <v>172</v>
      </c>
      <c r="W387" s="5">
        <v>77.72</v>
      </c>
    </row>
    <row r="388" spans="1:23" ht="15" x14ac:dyDescent="0.2">
      <c r="A388" t="s">
        <v>1009</v>
      </c>
      <c r="B388" s="1">
        <f>45913</f>
        <v>45913</v>
      </c>
      <c r="C388" t="s">
        <v>0</v>
      </c>
      <c r="D388">
        <v>108108</v>
      </c>
      <c r="E388" s="2">
        <v>25004535</v>
      </c>
      <c r="F388" s="2">
        <v>3</v>
      </c>
      <c r="G388" t="s">
        <v>1526</v>
      </c>
      <c r="H388" t="s">
        <v>1206</v>
      </c>
      <c r="I388" t="s">
        <v>1820</v>
      </c>
      <c r="J388" t="s">
        <v>1324</v>
      </c>
      <c r="K388" s="3">
        <v>1</v>
      </c>
      <c r="L388" s="4">
        <v>25.6</v>
      </c>
      <c r="O388" t="s">
        <v>2</v>
      </c>
      <c r="P388" t="s">
        <v>639</v>
      </c>
      <c r="Q388" s="2">
        <v>20</v>
      </c>
      <c r="R388" s="5">
        <v>32</v>
      </c>
      <c r="S388" s="5">
        <v>6.4</v>
      </c>
      <c r="T388" s="2">
        <v>26</v>
      </c>
      <c r="U388" t="s">
        <v>3</v>
      </c>
      <c r="V388" t="s">
        <v>172</v>
      </c>
      <c r="W388" s="5">
        <v>77.72</v>
      </c>
    </row>
    <row r="389" spans="1:23" ht="15" x14ac:dyDescent="0.2">
      <c r="A389" t="s">
        <v>1009</v>
      </c>
      <c r="B389" s="1">
        <f>45913</f>
        <v>45913</v>
      </c>
      <c r="C389" t="s">
        <v>0</v>
      </c>
      <c r="D389">
        <v>108108</v>
      </c>
      <c r="E389" s="2">
        <v>25004536</v>
      </c>
      <c r="F389" s="2">
        <v>1</v>
      </c>
      <c r="G389" t="s">
        <v>1369</v>
      </c>
      <c r="H389" t="s">
        <v>1051</v>
      </c>
      <c r="I389" t="s">
        <v>1647</v>
      </c>
      <c r="J389" t="s">
        <v>1324</v>
      </c>
      <c r="K389" s="3">
        <v>1</v>
      </c>
      <c r="L389" s="4">
        <v>9.9</v>
      </c>
      <c r="O389" t="s">
        <v>2</v>
      </c>
      <c r="P389" t="s">
        <v>640</v>
      </c>
      <c r="Q389" s="2">
        <v>0</v>
      </c>
      <c r="R389" s="5">
        <v>9.9</v>
      </c>
      <c r="S389" s="5">
        <v>0</v>
      </c>
      <c r="T389" s="2">
        <v>10</v>
      </c>
      <c r="U389" t="s">
        <v>3</v>
      </c>
      <c r="V389" t="s">
        <v>1322</v>
      </c>
      <c r="W389" s="5">
        <v>8.32</v>
      </c>
    </row>
    <row r="390" spans="1:23" ht="15" x14ac:dyDescent="0.2">
      <c r="A390" t="s">
        <v>1009</v>
      </c>
      <c r="B390" s="1">
        <f>45913</f>
        <v>45913</v>
      </c>
      <c r="C390" t="s">
        <v>0</v>
      </c>
      <c r="D390">
        <v>108108</v>
      </c>
      <c r="E390" s="2">
        <v>25004537</v>
      </c>
      <c r="F390" s="2">
        <v>1</v>
      </c>
      <c r="G390" t="s">
        <v>1527</v>
      </c>
      <c r="H390" t="s">
        <v>1207</v>
      </c>
      <c r="I390" t="s">
        <v>1821</v>
      </c>
      <c r="J390" t="s">
        <v>1324</v>
      </c>
      <c r="K390" s="3">
        <v>1</v>
      </c>
      <c r="L390" s="4">
        <v>22.9</v>
      </c>
      <c r="O390" t="s">
        <v>2</v>
      </c>
      <c r="P390" t="s">
        <v>641</v>
      </c>
      <c r="Q390" s="2">
        <v>0</v>
      </c>
      <c r="R390" s="5">
        <v>22.9</v>
      </c>
      <c r="S390" s="5">
        <v>0</v>
      </c>
      <c r="T390" s="2">
        <v>23</v>
      </c>
      <c r="U390" t="s">
        <v>3</v>
      </c>
      <c r="V390" t="s">
        <v>173</v>
      </c>
      <c r="W390" s="5">
        <v>19.239999999999998</v>
      </c>
    </row>
    <row r="391" spans="1:23" ht="15" x14ac:dyDescent="0.2">
      <c r="A391" t="s">
        <v>1009</v>
      </c>
      <c r="B391" s="1">
        <f>45913</f>
        <v>45913</v>
      </c>
      <c r="C391" t="s">
        <v>0</v>
      </c>
      <c r="D391">
        <v>108108</v>
      </c>
      <c r="E391" s="2">
        <v>25004538</v>
      </c>
      <c r="F391" s="2">
        <v>1</v>
      </c>
      <c r="G391" t="s">
        <v>1475</v>
      </c>
      <c r="H391" t="s">
        <v>1156</v>
      </c>
      <c r="I391" t="s">
        <v>1822</v>
      </c>
      <c r="J391" t="s">
        <v>1324</v>
      </c>
      <c r="K391" s="3">
        <v>1</v>
      </c>
      <c r="L391" s="4">
        <v>27.5</v>
      </c>
      <c r="O391" t="s">
        <v>2</v>
      </c>
      <c r="P391" t="s">
        <v>642</v>
      </c>
      <c r="Q391" s="2">
        <v>0</v>
      </c>
      <c r="R391" s="5">
        <v>27.5</v>
      </c>
      <c r="S391" s="5">
        <v>0</v>
      </c>
      <c r="T391" s="2">
        <v>28</v>
      </c>
      <c r="U391" t="s">
        <v>3</v>
      </c>
      <c r="V391" t="s">
        <v>174</v>
      </c>
      <c r="W391" s="5">
        <v>23.11</v>
      </c>
    </row>
    <row r="392" spans="1:23" ht="15" x14ac:dyDescent="0.2">
      <c r="A392" t="s">
        <v>1009</v>
      </c>
      <c r="B392" s="1">
        <f>45913</f>
        <v>45913</v>
      </c>
      <c r="C392" t="s">
        <v>0</v>
      </c>
      <c r="D392">
        <v>108108</v>
      </c>
      <c r="E392" s="2">
        <v>25004539</v>
      </c>
      <c r="F392" s="2">
        <v>1</v>
      </c>
      <c r="G392" t="s">
        <v>1354</v>
      </c>
      <c r="H392" t="s">
        <v>1036</v>
      </c>
      <c r="I392" t="s">
        <v>1823</v>
      </c>
      <c r="J392" t="s">
        <v>1324</v>
      </c>
      <c r="K392" s="3">
        <v>1</v>
      </c>
      <c r="L392" s="4">
        <v>24.9</v>
      </c>
      <c r="O392" t="s">
        <v>2</v>
      </c>
      <c r="P392" t="s">
        <v>643</v>
      </c>
      <c r="Q392" s="2">
        <v>0</v>
      </c>
      <c r="R392" s="5">
        <v>24.9</v>
      </c>
      <c r="S392" s="5">
        <v>0</v>
      </c>
      <c r="T392" s="2">
        <v>25</v>
      </c>
      <c r="U392" t="s">
        <v>3</v>
      </c>
      <c r="V392" t="s">
        <v>175</v>
      </c>
      <c r="W392" s="5">
        <v>20.92</v>
      </c>
    </row>
    <row r="393" spans="1:23" ht="15" x14ac:dyDescent="0.2">
      <c r="A393" t="s">
        <v>1009</v>
      </c>
      <c r="B393" s="1">
        <f>45913</f>
        <v>45913</v>
      </c>
      <c r="C393" t="s">
        <v>0</v>
      </c>
      <c r="D393">
        <v>108108</v>
      </c>
      <c r="E393" s="2">
        <v>25004540</v>
      </c>
      <c r="F393" s="2">
        <v>1</v>
      </c>
      <c r="G393" t="s">
        <v>1510</v>
      </c>
      <c r="H393" t="s">
        <v>1191</v>
      </c>
      <c r="I393" t="s">
        <v>1647</v>
      </c>
      <c r="J393" t="s">
        <v>1324</v>
      </c>
      <c r="K393" s="3">
        <v>1</v>
      </c>
      <c r="L393" s="4">
        <v>21.9</v>
      </c>
      <c r="O393" t="s">
        <v>2</v>
      </c>
      <c r="P393" t="s">
        <v>644</v>
      </c>
      <c r="Q393" s="2">
        <v>0</v>
      </c>
      <c r="R393" s="5">
        <v>21.9</v>
      </c>
      <c r="S393" s="5">
        <v>0</v>
      </c>
      <c r="T393" s="2">
        <v>22</v>
      </c>
      <c r="U393" t="s">
        <v>3</v>
      </c>
      <c r="V393" t="s">
        <v>1322</v>
      </c>
      <c r="W393" s="5">
        <v>22.6</v>
      </c>
    </row>
    <row r="394" spans="1:23" ht="15" x14ac:dyDescent="0.2">
      <c r="A394" t="s">
        <v>1009</v>
      </c>
      <c r="B394" s="1">
        <f>45913</f>
        <v>45913</v>
      </c>
      <c r="C394" t="s">
        <v>0</v>
      </c>
      <c r="D394">
        <v>108108</v>
      </c>
      <c r="E394" s="2">
        <v>25004540</v>
      </c>
      <c r="F394" s="2">
        <v>2</v>
      </c>
      <c r="G394" t="s">
        <v>1332</v>
      </c>
      <c r="H394" t="s">
        <v>362</v>
      </c>
      <c r="I394" t="s">
        <v>1647</v>
      </c>
      <c r="J394" t="s">
        <v>1324</v>
      </c>
      <c r="K394" s="3">
        <v>1</v>
      </c>
      <c r="L394" s="4">
        <v>5</v>
      </c>
      <c r="O394" t="s">
        <v>2</v>
      </c>
      <c r="P394" t="s">
        <v>644</v>
      </c>
      <c r="Q394" s="2">
        <v>0</v>
      </c>
      <c r="R394" s="5">
        <v>5</v>
      </c>
      <c r="S394" s="5">
        <v>0</v>
      </c>
      <c r="T394" s="2">
        <v>5</v>
      </c>
      <c r="U394" t="s">
        <v>3</v>
      </c>
      <c r="V394" t="s">
        <v>1322</v>
      </c>
      <c r="W394" s="5">
        <v>22.6</v>
      </c>
    </row>
    <row r="395" spans="1:23" ht="15" x14ac:dyDescent="0.2">
      <c r="A395" t="s">
        <v>1009</v>
      </c>
      <c r="B395" s="1">
        <f>45913</f>
        <v>45913</v>
      </c>
      <c r="C395" t="s">
        <v>0</v>
      </c>
      <c r="D395">
        <v>108108</v>
      </c>
      <c r="E395" s="2">
        <v>25004541</v>
      </c>
      <c r="F395" s="2">
        <v>1</v>
      </c>
      <c r="G395" t="s">
        <v>1430</v>
      </c>
      <c r="H395" t="s">
        <v>1112</v>
      </c>
      <c r="I395" t="s">
        <v>1812</v>
      </c>
      <c r="J395" t="s">
        <v>1324</v>
      </c>
      <c r="K395" s="3">
        <v>1</v>
      </c>
      <c r="L395" s="4">
        <v>29.9</v>
      </c>
      <c r="O395" t="s">
        <v>2</v>
      </c>
      <c r="P395" t="s">
        <v>645</v>
      </c>
      <c r="Q395" s="2">
        <v>0</v>
      </c>
      <c r="R395" s="5">
        <v>29.9</v>
      </c>
      <c r="S395" s="5">
        <v>0</v>
      </c>
      <c r="T395" s="2">
        <v>30</v>
      </c>
      <c r="U395" t="s">
        <v>3</v>
      </c>
      <c r="V395" t="s">
        <v>164</v>
      </c>
      <c r="W395" s="5">
        <v>25.13</v>
      </c>
    </row>
    <row r="396" spans="1:23" ht="15" x14ac:dyDescent="0.2">
      <c r="A396" t="s">
        <v>1009</v>
      </c>
      <c r="B396" s="1">
        <f>45913</f>
        <v>45913</v>
      </c>
      <c r="C396" t="s">
        <v>0</v>
      </c>
      <c r="D396">
        <v>108108</v>
      </c>
      <c r="E396" s="2">
        <v>25004542</v>
      </c>
      <c r="F396" s="2">
        <v>1</v>
      </c>
      <c r="G396" t="s">
        <v>1528</v>
      </c>
      <c r="H396" t="s">
        <v>1208</v>
      </c>
      <c r="I396" t="s">
        <v>1824</v>
      </c>
      <c r="J396" t="s">
        <v>1324</v>
      </c>
      <c r="K396" s="3">
        <v>1</v>
      </c>
      <c r="L396" s="4">
        <v>116</v>
      </c>
      <c r="O396" t="s">
        <v>2</v>
      </c>
      <c r="P396" t="s">
        <v>646</v>
      </c>
      <c r="Q396" s="2">
        <v>20</v>
      </c>
      <c r="R396" s="5">
        <v>145</v>
      </c>
      <c r="S396" s="5">
        <v>29</v>
      </c>
      <c r="T396" s="2">
        <v>116</v>
      </c>
      <c r="U396" t="s">
        <v>3</v>
      </c>
      <c r="V396" t="s">
        <v>176</v>
      </c>
      <c r="W396" s="5">
        <v>97.48</v>
      </c>
    </row>
    <row r="397" spans="1:23" ht="15" x14ac:dyDescent="0.2">
      <c r="A397" t="s">
        <v>1009</v>
      </c>
      <c r="B397" s="1">
        <f>45913</f>
        <v>45913</v>
      </c>
      <c r="C397" t="s">
        <v>0</v>
      </c>
      <c r="D397">
        <v>108108</v>
      </c>
      <c r="E397" s="2">
        <v>25004543</v>
      </c>
      <c r="F397" s="2">
        <v>1</v>
      </c>
      <c r="G397" t="s">
        <v>1484</v>
      </c>
      <c r="H397" t="s">
        <v>1165</v>
      </c>
      <c r="I397" t="s">
        <v>1647</v>
      </c>
      <c r="J397" t="s">
        <v>1324</v>
      </c>
      <c r="K397" s="3">
        <v>1</v>
      </c>
      <c r="L397" s="4">
        <v>18</v>
      </c>
      <c r="O397" t="s">
        <v>2</v>
      </c>
      <c r="P397" t="s">
        <v>647</v>
      </c>
      <c r="Q397" s="2">
        <v>40</v>
      </c>
      <c r="R397" s="5">
        <v>30</v>
      </c>
      <c r="S397" s="5">
        <v>12</v>
      </c>
      <c r="T397" s="2">
        <v>18</v>
      </c>
      <c r="U397" t="s">
        <v>3</v>
      </c>
      <c r="V397" t="s">
        <v>1322</v>
      </c>
      <c r="W397" s="5">
        <v>15.13</v>
      </c>
    </row>
    <row r="398" spans="1:23" ht="15" x14ac:dyDescent="0.2">
      <c r="A398" t="s">
        <v>1009</v>
      </c>
      <c r="B398" s="1">
        <f>45913</f>
        <v>45913</v>
      </c>
      <c r="C398" t="s">
        <v>0</v>
      </c>
      <c r="D398">
        <v>108108</v>
      </c>
      <c r="E398" s="2">
        <v>25004545</v>
      </c>
      <c r="F398" s="2">
        <v>1</v>
      </c>
      <c r="G398" t="s">
        <v>1529</v>
      </c>
      <c r="H398" t="s">
        <v>1209</v>
      </c>
      <c r="I398" t="s">
        <v>1647</v>
      </c>
      <c r="J398" t="s">
        <v>1324</v>
      </c>
      <c r="K398" s="3">
        <v>1</v>
      </c>
      <c r="L398" s="4">
        <v>18</v>
      </c>
      <c r="O398" t="s">
        <v>2</v>
      </c>
      <c r="P398" t="s">
        <v>648</v>
      </c>
      <c r="Q398" s="2">
        <v>40</v>
      </c>
      <c r="R398" s="5">
        <v>30</v>
      </c>
      <c r="S398" s="5">
        <v>12</v>
      </c>
      <c r="T398" s="2">
        <v>18</v>
      </c>
      <c r="U398" t="s">
        <v>3</v>
      </c>
      <c r="V398" t="s">
        <v>1322</v>
      </c>
      <c r="W398" s="5">
        <v>15.13</v>
      </c>
    </row>
    <row r="399" spans="1:23" ht="15" x14ac:dyDescent="0.2">
      <c r="A399" t="s">
        <v>1009</v>
      </c>
      <c r="B399" s="1">
        <f>45913</f>
        <v>45913</v>
      </c>
      <c r="C399" t="s">
        <v>0</v>
      </c>
      <c r="D399">
        <v>108108</v>
      </c>
      <c r="E399" s="2">
        <v>25004547</v>
      </c>
      <c r="F399" s="2">
        <v>1</v>
      </c>
      <c r="G399" t="s">
        <v>1646</v>
      </c>
      <c r="H399" t="s">
        <v>361</v>
      </c>
      <c r="I399" t="s">
        <v>1647</v>
      </c>
      <c r="J399" t="s">
        <v>1324</v>
      </c>
      <c r="K399" s="3">
        <v>1</v>
      </c>
      <c r="L399" s="4">
        <v>-450</v>
      </c>
      <c r="Q399" s="2">
        <v>0</v>
      </c>
      <c r="R399" s="5">
        <v>-450</v>
      </c>
      <c r="S399" s="5">
        <v>0</v>
      </c>
      <c r="T399" s="2">
        <v>-450</v>
      </c>
      <c r="U399" t="s">
        <v>1</v>
      </c>
      <c r="V399" t="s">
        <v>361</v>
      </c>
      <c r="W399" s="5">
        <v>-450</v>
      </c>
    </row>
    <row r="400" spans="1:23" ht="15" x14ac:dyDescent="0.2">
      <c r="A400" t="s">
        <v>1009</v>
      </c>
      <c r="B400" s="1">
        <f>45915</f>
        <v>45915</v>
      </c>
      <c r="C400" t="s">
        <v>0</v>
      </c>
      <c r="D400">
        <v>108108</v>
      </c>
      <c r="E400" s="2">
        <v>25004548</v>
      </c>
      <c r="F400" s="2">
        <v>1</v>
      </c>
      <c r="G400" t="s">
        <v>1646</v>
      </c>
      <c r="H400" t="s">
        <v>361</v>
      </c>
      <c r="I400" t="s">
        <v>1647</v>
      </c>
      <c r="J400" t="s">
        <v>1325</v>
      </c>
      <c r="K400" s="3">
        <v>1</v>
      </c>
      <c r="L400" s="4">
        <v>450</v>
      </c>
      <c r="Q400" s="2">
        <v>0</v>
      </c>
      <c r="R400" s="5">
        <v>450</v>
      </c>
      <c r="S400" s="5">
        <v>0</v>
      </c>
      <c r="T400" s="2">
        <v>450</v>
      </c>
      <c r="U400" t="s">
        <v>1</v>
      </c>
      <c r="V400" t="s">
        <v>361</v>
      </c>
      <c r="W400" s="5">
        <v>450</v>
      </c>
    </row>
    <row r="401" spans="1:23" ht="15" x14ac:dyDescent="0.2">
      <c r="A401" t="s">
        <v>1009</v>
      </c>
      <c r="B401" s="1">
        <f>45915</f>
        <v>45915</v>
      </c>
      <c r="C401" t="s">
        <v>0</v>
      </c>
      <c r="D401">
        <v>108108</v>
      </c>
      <c r="E401" s="2">
        <v>25004549</v>
      </c>
      <c r="F401" s="2">
        <v>1</v>
      </c>
      <c r="G401" t="s">
        <v>1467</v>
      </c>
      <c r="H401" t="s">
        <v>1148</v>
      </c>
      <c r="I401" t="s">
        <v>1825</v>
      </c>
      <c r="J401" t="s">
        <v>1325</v>
      </c>
      <c r="K401" s="3">
        <v>1</v>
      </c>
      <c r="L401" s="4">
        <v>5.25</v>
      </c>
      <c r="O401" t="s">
        <v>2</v>
      </c>
      <c r="P401" t="s">
        <v>649</v>
      </c>
      <c r="Q401" s="2">
        <v>25</v>
      </c>
      <c r="R401" s="5">
        <v>7</v>
      </c>
      <c r="S401" s="5">
        <v>1.75</v>
      </c>
      <c r="T401" s="2">
        <v>5</v>
      </c>
      <c r="U401" t="s">
        <v>3</v>
      </c>
      <c r="V401" t="s">
        <v>177</v>
      </c>
      <c r="W401" s="5">
        <v>18.850000000000001</v>
      </c>
    </row>
    <row r="402" spans="1:23" ht="15" x14ac:dyDescent="0.2">
      <c r="A402" t="s">
        <v>1009</v>
      </c>
      <c r="B402" s="1">
        <f>45915</f>
        <v>45915</v>
      </c>
      <c r="C402" t="s">
        <v>0</v>
      </c>
      <c r="D402">
        <v>108108</v>
      </c>
      <c r="E402" s="2">
        <v>25004549</v>
      </c>
      <c r="F402" s="2">
        <v>2</v>
      </c>
      <c r="G402" t="s">
        <v>1431</v>
      </c>
      <c r="H402" t="s">
        <v>1113</v>
      </c>
      <c r="I402" t="s">
        <v>1825</v>
      </c>
      <c r="J402" t="s">
        <v>1325</v>
      </c>
      <c r="K402" s="3">
        <v>1</v>
      </c>
      <c r="L402" s="4">
        <v>17.18</v>
      </c>
      <c r="O402" t="s">
        <v>2</v>
      </c>
      <c r="P402" t="s">
        <v>649</v>
      </c>
      <c r="Q402" s="2">
        <v>25</v>
      </c>
      <c r="R402" s="5">
        <v>22.9</v>
      </c>
      <c r="S402" s="5">
        <v>5.72</v>
      </c>
      <c r="T402" s="2">
        <v>17</v>
      </c>
      <c r="U402" t="s">
        <v>3</v>
      </c>
      <c r="V402" t="s">
        <v>177</v>
      </c>
      <c r="W402" s="5">
        <v>18.850000000000001</v>
      </c>
    </row>
    <row r="403" spans="1:23" ht="15" x14ac:dyDescent="0.2">
      <c r="A403" t="s">
        <v>1009</v>
      </c>
      <c r="B403" s="1">
        <f>45915</f>
        <v>45915</v>
      </c>
      <c r="C403" t="s">
        <v>0</v>
      </c>
      <c r="D403">
        <v>108108</v>
      </c>
      <c r="E403" s="2">
        <v>25004550</v>
      </c>
      <c r="F403" s="2">
        <v>1</v>
      </c>
      <c r="G403" t="s">
        <v>1530</v>
      </c>
      <c r="H403" t="s">
        <v>1210</v>
      </c>
      <c r="I403" t="s">
        <v>1826</v>
      </c>
      <c r="J403" t="s">
        <v>1326</v>
      </c>
      <c r="K403" s="3">
        <v>1</v>
      </c>
      <c r="L403" s="4">
        <v>16.899999999999999</v>
      </c>
      <c r="O403" t="s">
        <v>2</v>
      </c>
      <c r="P403" t="s">
        <v>650</v>
      </c>
      <c r="Q403" s="2">
        <v>0</v>
      </c>
      <c r="R403" s="5">
        <v>16.899999999999999</v>
      </c>
      <c r="S403" s="5">
        <v>0</v>
      </c>
      <c r="T403" s="2">
        <v>17</v>
      </c>
      <c r="U403" t="s">
        <v>3</v>
      </c>
      <c r="V403" t="s">
        <v>178</v>
      </c>
      <c r="W403" s="5">
        <v>14.2</v>
      </c>
    </row>
    <row r="404" spans="1:23" ht="15" x14ac:dyDescent="0.2">
      <c r="A404" t="s">
        <v>1009</v>
      </c>
      <c r="B404" s="1">
        <f>45915</f>
        <v>45915</v>
      </c>
      <c r="C404" t="s">
        <v>0</v>
      </c>
      <c r="D404">
        <v>108108</v>
      </c>
      <c r="E404" s="2">
        <v>25004551</v>
      </c>
      <c r="F404" s="2">
        <v>1</v>
      </c>
      <c r="G404" t="s">
        <v>1531</v>
      </c>
      <c r="H404" t="s">
        <v>1211</v>
      </c>
      <c r="I404" t="s">
        <v>1827</v>
      </c>
      <c r="J404" t="s">
        <v>1325</v>
      </c>
      <c r="K404" s="3">
        <v>1</v>
      </c>
      <c r="L404" s="4">
        <v>27.9</v>
      </c>
      <c r="O404" t="s">
        <v>2</v>
      </c>
      <c r="P404" t="s">
        <v>651</v>
      </c>
      <c r="Q404" s="2">
        <v>0</v>
      </c>
      <c r="R404" s="5">
        <v>27.9</v>
      </c>
      <c r="S404" s="5">
        <v>0</v>
      </c>
      <c r="T404" s="2">
        <v>28</v>
      </c>
      <c r="U404" t="s">
        <v>3</v>
      </c>
      <c r="V404" t="s">
        <v>179</v>
      </c>
      <c r="W404" s="5">
        <v>48.58</v>
      </c>
    </row>
    <row r="405" spans="1:23" ht="15" x14ac:dyDescent="0.2">
      <c r="A405" t="s">
        <v>1009</v>
      </c>
      <c r="B405" s="1">
        <f>45915</f>
        <v>45915</v>
      </c>
      <c r="C405" t="s">
        <v>0</v>
      </c>
      <c r="D405">
        <v>108108</v>
      </c>
      <c r="E405" s="2">
        <v>25004551</v>
      </c>
      <c r="F405" s="2">
        <v>2</v>
      </c>
      <c r="G405" t="s">
        <v>1532</v>
      </c>
      <c r="H405" t="s">
        <v>1212</v>
      </c>
      <c r="I405" t="s">
        <v>1827</v>
      </c>
      <c r="J405" t="s">
        <v>1325</v>
      </c>
      <c r="K405" s="3">
        <v>1</v>
      </c>
      <c r="L405" s="4">
        <v>29.9</v>
      </c>
      <c r="O405" t="s">
        <v>2</v>
      </c>
      <c r="P405" t="s">
        <v>651</v>
      </c>
      <c r="Q405" s="2">
        <v>0</v>
      </c>
      <c r="R405" s="5">
        <v>29.9</v>
      </c>
      <c r="S405" s="5">
        <v>0</v>
      </c>
      <c r="T405" s="2">
        <v>30</v>
      </c>
      <c r="U405" t="s">
        <v>3</v>
      </c>
      <c r="V405" t="s">
        <v>179</v>
      </c>
      <c r="W405" s="5">
        <v>48.58</v>
      </c>
    </row>
    <row r="406" spans="1:23" ht="15" x14ac:dyDescent="0.2">
      <c r="A406" t="s">
        <v>1009</v>
      </c>
      <c r="B406" s="1">
        <f>45915</f>
        <v>45915</v>
      </c>
      <c r="C406" t="s">
        <v>0</v>
      </c>
      <c r="D406">
        <v>108108</v>
      </c>
      <c r="E406" s="2">
        <v>25004552</v>
      </c>
      <c r="F406" s="2">
        <v>1</v>
      </c>
      <c r="G406" t="s">
        <v>1415</v>
      </c>
      <c r="H406" t="s">
        <v>1097</v>
      </c>
      <c r="I406" t="s">
        <v>1647</v>
      </c>
      <c r="J406" t="s">
        <v>1326</v>
      </c>
      <c r="K406" s="3">
        <v>1</v>
      </c>
      <c r="L406" s="4">
        <v>22.9</v>
      </c>
      <c r="O406" t="s">
        <v>2</v>
      </c>
      <c r="P406" t="s">
        <v>652</v>
      </c>
      <c r="Q406" s="2">
        <v>0</v>
      </c>
      <c r="R406" s="5">
        <v>22.9</v>
      </c>
      <c r="S406" s="5">
        <v>0</v>
      </c>
      <c r="T406" s="2">
        <v>23</v>
      </c>
      <c r="U406" t="s">
        <v>3</v>
      </c>
      <c r="V406" t="s">
        <v>1322</v>
      </c>
      <c r="W406" s="5">
        <v>19.239999999999998</v>
      </c>
    </row>
    <row r="407" spans="1:23" ht="15" x14ac:dyDescent="0.2">
      <c r="A407" t="s">
        <v>1009</v>
      </c>
      <c r="B407" s="1">
        <f>45915</f>
        <v>45915</v>
      </c>
      <c r="C407" t="s">
        <v>0</v>
      </c>
      <c r="D407">
        <v>108108</v>
      </c>
      <c r="E407" s="2">
        <v>25004553</v>
      </c>
      <c r="F407" s="2">
        <v>1</v>
      </c>
      <c r="G407" t="s">
        <v>1533</v>
      </c>
      <c r="H407" t="s">
        <v>1142</v>
      </c>
      <c r="I407" t="s">
        <v>1828</v>
      </c>
      <c r="J407" t="s">
        <v>1325</v>
      </c>
      <c r="K407" s="3">
        <v>1</v>
      </c>
      <c r="L407" s="4">
        <v>23.9</v>
      </c>
      <c r="O407" t="s">
        <v>2</v>
      </c>
      <c r="P407" t="s">
        <v>653</v>
      </c>
      <c r="Q407" s="2">
        <v>0</v>
      </c>
      <c r="R407" s="5">
        <v>23.9</v>
      </c>
      <c r="S407" s="5">
        <v>0</v>
      </c>
      <c r="T407" s="2">
        <v>24</v>
      </c>
      <c r="U407" t="s">
        <v>3</v>
      </c>
      <c r="V407" t="s">
        <v>180</v>
      </c>
      <c r="W407" s="5">
        <v>46.88</v>
      </c>
    </row>
    <row r="408" spans="1:23" ht="15" x14ac:dyDescent="0.2">
      <c r="A408" t="s">
        <v>1009</v>
      </c>
      <c r="B408" s="1">
        <f>45915</f>
        <v>45915</v>
      </c>
      <c r="C408" t="s">
        <v>0</v>
      </c>
      <c r="D408">
        <v>108108</v>
      </c>
      <c r="E408" s="2">
        <v>25004553</v>
      </c>
      <c r="F408" s="2">
        <v>2</v>
      </c>
      <c r="G408" t="s">
        <v>1429</v>
      </c>
      <c r="H408" t="s">
        <v>1111</v>
      </c>
      <c r="I408" t="s">
        <v>1828</v>
      </c>
      <c r="J408" t="s">
        <v>1325</v>
      </c>
      <c r="K408" s="3">
        <v>1</v>
      </c>
      <c r="L408" s="4">
        <v>21.9</v>
      </c>
      <c r="O408" t="s">
        <v>2</v>
      </c>
      <c r="P408" t="s">
        <v>653</v>
      </c>
      <c r="Q408" s="2">
        <v>0</v>
      </c>
      <c r="R408" s="5">
        <v>21.9</v>
      </c>
      <c r="S408" s="5">
        <v>0</v>
      </c>
      <c r="T408" s="2">
        <v>22</v>
      </c>
      <c r="U408" t="s">
        <v>3</v>
      </c>
      <c r="V408" t="s">
        <v>180</v>
      </c>
      <c r="W408" s="5">
        <v>46.88</v>
      </c>
    </row>
    <row r="409" spans="1:23" ht="15" x14ac:dyDescent="0.2">
      <c r="A409" t="s">
        <v>1009</v>
      </c>
      <c r="B409" s="1">
        <f>45915</f>
        <v>45915</v>
      </c>
      <c r="C409" t="s">
        <v>0</v>
      </c>
      <c r="D409">
        <v>108108</v>
      </c>
      <c r="E409" s="2">
        <v>25004553</v>
      </c>
      <c r="F409" s="2">
        <v>3</v>
      </c>
      <c r="G409" t="s">
        <v>1534</v>
      </c>
      <c r="H409" t="s">
        <v>1213</v>
      </c>
      <c r="I409" t="s">
        <v>1828</v>
      </c>
      <c r="J409" t="s">
        <v>1325</v>
      </c>
      <c r="K409" s="3">
        <v>1</v>
      </c>
      <c r="L409" s="4">
        <v>5</v>
      </c>
      <c r="O409" t="s">
        <v>2</v>
      </c>
      <c r="P409" t="s">
        <v>653</v>
      </c>
      <c r="Q409" s="2">
        <v>0</v>
      </c>
      <c r="R409" s="5">
        <v>5</v>
      </c>
      <c r="S409" s="5">
        <v>0</v>
      </c>
      <c r="T409" s="2">
        <v>5</v>
      </c>
      <c r="U409" t="s">
        <v>3</v>
      </c>
      <c r="V409" t="s">
        <v>180</v>
      </c>
      <c r="W409" s="5">
        <v>46.88</v>
      </c>
    </row>
    <row r="410" spans="1:23" ht="15" x14ac:dyDescent="0.2">
      <c r="A410" t="s">
        <v>1009</v>
      </c>
      <c r="B410" s="1">
        <f>45915</f>
        <v>45915</v>
      </c>
      <c r="C410" t="s">
        <v>0</v>
      </c>
      <c r="D410">
        <v>108108</v>
      </c>
      <c r="E410" s="2">
        <v>25004553</v>
      </c>
      <c r="F410" s="2">
        <v>4</v>
      </c>
      <c r="G410" t="s">
        <v>1332</v>
      </c>
      <c r="H410" t="s">
        <v>362</v>
      </c>
      <c r="I410" t="s">
        <v>1828</v>
      </c>
      <c r="J410" t="s">
        <v>1325</v>
      </c>
      <c r="K410" s="3">
        <v>1</v>
      </c>
      <c r="L410" s="4">
        <v>5</v>
      </c>
      <c r="O410" t="s">
        <v>2</v>
      </c>
      <c r="P410" t="s">
        <v>653</v>
      </c>
      <c r="Q410" s="2">
        <v>0</v>
      </c>
      <c r="R410" s="5">
        <v>5</v>
      </c>
      <c r="S410" s="5">
        <v>0</v>
      </c>
      <c r="T410" s="2">
        <v>5</v>
      </c>
      <c r="U410" t="s">
        <v>3</v>
      </c>
      <c r="V410" t="s">
        <v>180</v>
      </c>
      <c r="W410" s="5">
        <v>46.88</v>
      </c>
    </row>
    <row r="411" spans="1:23" ht="15" x14ac:dyDescent="0.2">
      <c r="A411" t="s">
        <v>1009</v>
      </c>
      <c r="B411" s="1">
        <f>45915</f>
        <v>45915</v>
      </c>
      <c r="C411" t="s">
        <v>0</v>
      </c>
      <c r="D411">
        <v>108108</v>
      </c>
      <c r="E411" s="2">
        <v>25004554</v>
      </c>
      <c r="F411" s="2">
        <v>1</v>
      </c>
      <c r="G411" t="s">
        <v>1535</v>
      </c>
      <c r="H411" t="s">
        <v>1214</v>
      </c>
      <c r="I411" t="s">
        <v>1829</v>
      </c>
      <c r="J411" t="s">
        <v>1326</v>
      </c>
      <c r="K411" s="3">
        <v>1</v>
      </c>
      <c r="L411" s="4">
        <v>17.18</v>
      </c>
      <c r="O411" t="s">
        <v>2</v>
      </c>
      <c r="P411" t="s">
        <v>654</v>
      </c>
      <c r="Q411" s="2">
        <v>25</v>
      </c>
      <c r="R411" s="5">
        <v>22.9</v>
      </c>
      <c r="S411" s="5">
        <v>5.72</v>
      </c>
      <c r="T411" s="2">
        <v>17</v>
      </c>
      <c r="U411" t="s">
        <v>3</v>
      </c>
      <c r="V411" t="s">
        <v>92</v>
      </c>
      <c r="W411" s="5">
        <v>34.93</v>
      </c>
    </row>
    <row r="412" spans="1:23" ht="15" x14ac:dyDescent="0.2">
      <c r="A412" t="s">
        <v>1009</v>
      </c>
      <c r="B412" s="1">
        <f>45915</f>
        <v>45915</v>
      </c>
      <c r="C412" t="s">
        <v>0</v>
      </c>
      <c r="D412">
        <v>108108</v>
      </c>
      <c r="E412" s="2">
        <v>25004554</v>
      </c>
      <c r="F412" s="2">
        <v>2</v>
      </c>
      <c r="G412" t="s">
        <v>1469</v>
      </c>
      <c r="H412" t="s">
        <v>1150</v>
      </c>
      <c r="I412" t="s">
        <v>1829</v>
      </c>
      <c r="J412" t="s">
        <v>1326</v>
      </c>
      <c r="K412" s="3">
        <v>1</v>
      </c>
      <c r="L412" s="4">
        <v>20.63</v>
      </c>
      <c r="O412" t="s">
        <v>2</v>
      </c>
      <c r="P412" t="s">
        <v>654</v>
      </c>
      <c r="Q412" s="2">
        <v>25</v>
      </c>
      <c r="R412" s="5">
        <v>27.5</v>
      </c>
      <c r="S412" s="5">
        <v>6.87</v>
      </c>
      <c r="T412" s="2">
        <v>21</v>
      </c>
      <c r="U412" t="s">
        <v>3</v>
      </c>
      <c r="V412" t="s">
        <v>92</v>
      </c>
      <c r="W412" s="5">
        <v>34.93</v>
      </c>
    </row>
    <row r="413" spans="1:23" ht="15" x14ac:dyDescent="0.2">
      <c r="A413" t="s">
        <v>1009</v>
      </c>
      <c r="B413" s="1">
        <f>45915</f>
        <v>45915</v>
      </c>
      <c r="C413" t="s">
        <v>0</v>
      </c>
      <c r="D413">
        <v>108108</v>
      </c>
      <c r="E413" s="2">
        <v>25004554</v>
      </c>
      <c r="F413" s="2">
        <v>3</v>
      </c>
      <c r="G413" t="s">
        <v>1332</v>
      </c>
      <c r="H413" t="s">
        <v>362</v>
      </c>
      <c r="I413" t="s">
        <v>1829</v>
      </c>
      <c r="J413" t="s">
        <v>1326</v>
      </c>
      <c r="K413" s="3">
        <v>1</v>
      </c>
      <c r="L413" s="4">
        <v>3.75</v>
      </c>
      <c r="O413" t="s">
        <v>2</v>
      </c>
      <c r="P413" t="s">
        <v>654</v>
      </c>
      <c r="Q413" s="2">
        <v>25</v>
      </c>
      <c r="R413" s="5">
        <v>5</v>
      </c>
      <c r="S413" s="5">
        <v>1.25</v>
      </c>
      <c r="T413" s="2">
        <v>4</v>
      </c>
      <c r="U413" t="s">
        <v>3</v>
      </c>
      <c r="V413" t="s">
        <v>92</v>
      </c>
      <c r="W413" s="5">
        <v>34.93</v>
      </c>
    </row>
    <row r="414" spans="1:23" ht="15" x14ac:dyDescent="0.2">
      <c r="A414" t="s">
        <v>1009</v>
      </c>
      <c r="B414" s="1">
        <f>45915</f>
        <v>45915</v>
      </c>
      <c r="C414" t="s">
        <v>0</v>
      </c>
      <c r="D414">
        <v>108108</v>
      </c>
      <c r="E414" s="2">
        <v>25004554</v>
      </c>
      <c r="F414" s="2">
        <v>4</v>
      </c>
      <c r="G414" t="s">
        <v>1332</v>
      </c>
      <c r="H414" t="s">
        <v>362</v>
      </c>
      <c r="I414" t="s">
        <v>1829</v>
      </c>
      <c r="J414" t="s">
        <v>1326</v>
      </c>
      <c r="K414" s="3">
        <v>1</v>
      </c>
      <c r="L414" s="4">
        <v>0</v>
      </c>
      <c r="O414" t="s">
        <v>2</v>
      </c>
      <c r="P414" t="s">
        <v>654</v>
      </c>
      <c r="Q414" s="2">
        <v>100</v>
      </c>
      <c r="R414" s="5">
        <v>5</v>
      </c>
      <c r="S414" s="5">
        <v>5</v>
      </c>
      <c r="T414" s="2">
        <v>0</v>
      </c>
      <c r="U414" t="s">
        <v>3</v>
      </c>
      <c r="V414" t="s">
        <v>92</v>
      </c>
      <c r="W414" s="5">
        <v>34.93</v>
      </c>
    </row>
    <row r="415" spans="1:23" ht="15" x14ac:dyDescent="0.2">
      <c r="A415" t="s">
        <v>1009</v>
      </c>
      <c r="B415" s="1">
        <f>45915</f>
        <v>45915</v>
      </c>
      <c r="C415" t="s">
        <v>0</v>
      </c>
      <c r="D415">
        <v>108108</v>
      </c>
      <c r="E415" s="2">
        <v>25004555</v>
      </c>
      <c r="F415" s="2">
        <v>1</v>
      </c>
      <c r="G415" t="s">
        <v>1536</v>
      </c>
      <c r="H415" t="s">
        <v>1215</v>
      </c>
      <c r="I415" t="s">
        <v>1830</v>
      </c>
      <c r="J415" t="s">
        <v>1326</v>
      </c>
      <c r="K415" s="3">
        <v>1</v>
      </c>
      <c r="L415" s="4">
        <v>20.6</v>
      </c>
      <c r="O415" t="s">
        <v>2</v>
      </c>
      <c r="P415" t="s">
        <v>655</v>
      </c>
      <c r="Q415" s="2">
        <v>10</v>
      </c>
      <c r="R415" s="5">
        <v>22.9</v>
      </c>
      <c r="S415" s="5">
        <v>2.2999999999999998</v>
      </c>
      <c r="T415" s="2">
        <v>21</v>
      </c>
      <c r="U415" t="s">
        <v>3</v>
      </c>
      <c r="V415" t="s">
        <v>181</v>
      </c>
      <c r="W415" s="5">
        <v>41.43</v>
      </c>
    </row>
    <row r="416" spans="1:23" ht="15" x14ac:dyDescent="0.2">
      <c r="A416" t="s">
        <v>1009</v>
      </c>
      <c r="B416" s="1">
        <f>45915</f>
        <v>45915</v>
      </c>
      <c r="C416" t="s">
        <v>0</v>
      </c>
      <c r="D416">
        <v>108108</v>
      </c>
      <c r="E416" s="2">
        <v>25004555</v>
      </c>
      <c r="F416" s="2">
        <v>2</v>
      </c>
      <c r="G416" t="s">
        <v>1387</v>
      </c>
      <c r="H416" t="s">
        <v>1069</v>
      </c>
      <c r="I416" t="s">
        <v>1830</v>
      </c>
      <c r="J416" t="s">
        <v>1326</v>
      </c>
      <c r="K416" s="3">
        <v>1</v>
      </c>
      <c r="L416" s="4">
        <v>24.2</v>
      </c>
      <c r="O416" t="s">
        <v>2</v>
      </c>
      <c r="P416" t="s">
        <v>655</v>
      </c>
      <c r="Q416" s="2">
        <v>10</v>
      </c>
      <c r="R416" s="5">
        <v>26.9</v>
      </c>
      <c r="S416" s="5">
        <v>2.7</v>
      </c>
      <c r="T416" s="2">
        <v>24</v>
      </c>
      <c r="U416" t="s">
        <v>3</v>
      </c>
      <c r="V416" t="s">
        <v>181</v>
      </c>
      <c r="W416" s="5">
        <v>41.43</v>
      </c>
    </row>
    <row r="417" spans="1:23" ht="15" x14ac:dyDescent="0.2">
      <c r="A417" t="s">
        <v>1009</v>
      </c>
      <c r="B417" s="1">
        <f>45915</f>
        <v>45915</v>
      </c>
      <c r="C417" t="s">
        <v>0</v>
      </c>
      <c r="D417">
        <v>108108</v>
      </c>
      <c r="E417" s="2">
        <v>25004555</v>
      </c>
      <c r="F417" s="2">
        <v>3</v>
      </c>
      <c r="G417" t="s">
        <v>1332</v>
      </c>
      <c r="H417" t="s">
        <v>362</v>
      </c>
      <c r="I417" t="s">
        <v>1830</v>
      </c>
      <c r="J417" t="s">
        <v>1326</v>
      </c>
      <c r="K417" s="3">
        <v>1</v>
      </c>
      <c r="L417" s="4">
        <v>4.5</v>
      </c>
      <c r="O417" t="s">
        <v>2</v>
      </c>
      <c r="P417" t="s">
        <v>655</v>
      </c>
      <c r="Q417" s="2">
        <v>10</v>
      </c>
      <c r="R417" s="5">
        <v>5</v>
      </c>
      <c r="S417" s="5">
        <v>0.5</v>
      </c>
      <c r="T417" s="2">
        <v>5</v>
      </c>
      <c r="U417" t="s">
        <v>3</v>
      </c>
      <c r="V417" t="s">
        <v>181</v>
      </c>
      <c r="W417" s="5">
        <v>41.43</v>
      </c>
    </row>
    <row r="418" spans="1:23" ht="15" x14ac:dyDescent="0.2">
      <c r="A418" t="s">
        <v>1009</v>
      </c>
      <c r="B418" s="1">
        <f>45915</f>
        <v>45915</v>
      </c>
      <c r="C418" t="s">
        <v>0</v>
      </c>
      <c r="D418">
        <v>108108</v>
      </c>
      <c r="E418" s="2">
        <v>25004555</v>
      </c>
      <c r="F418" s="2">
        <v>4</v>
      </c>
      <c r="G418" t="s">
        <v>1332</v>
      </c>
      <c r="H418" t="s">
        <v>362</v>
      </c>
      <c r="I418" t="s">
        <v>1830</v>
      </c>
      <c r="J418" t="s">
        <v>1326</v>
      </c>
      <c r="K418" s="3">
        <v>1</v>
      </c>
      <c r="L418" s="4">
        <v>0</v>
      </c>
      <c r="O418" t="s">
        <v>2</v>
      </c>
      <c r="P418" t="s">
        <v>655</v>
      </c>
      <c r="Q418" s="2">
        <v>100</v>
      </c>
      <c r="R418" s="5">
        <v>5</v>
      </c>
      <c r="S418" s="5">
        <v>5</v>
      </c>
      <c r="T418" s="2">
        <v>0</v>
      </c>
      <c r="U418" t="s">
        <v>3</v>
      </c>
      <c r="V418" t="s">
        <v>181</v>
      </c>
      <c r="W418" s="5">
        <v>41.43</v>
      </c>
    </row>
    <row r="419" spans="1:23" ht="15" x14ac:dyDescent="0.2">
      <c r="A419" t="s">
        <v>1009</v>
      </c>
      <c r="B419" s="1">
        <f>45915</f>
        <v>45915</v>
      </c>
      <c r="C419" t="s">
        <v>0</v>
      </c>
      <c r="D419">
        <v>108108</v>
      </c>
      <c r="E419" s="2">
        <v>25004556</v>
      </c>
      <c r="F419" s="2">
        <v>1</v>
      </c>
      <c r="G419" t="s">
        <v>1537</v>
      </c>
      <c r="H419" t="s">
        <v>1216</v>
      </c>
      <c r="I419" t="s">
        <v>1647</v>
      </c>
      <c r="J419" t="s">
        <v>1326</v>
      </c>
      <c r="K419" s="3">
        <v>1</v>
      </c>
      <c r="L419" s="4">
        <v>35</v>
      </c>
      <c r="O419" t="s">
        <v>2</v>
      </c>
      <c r="P419" t="s">
        <v>656</v>
      </c>
      <c r="Q419" s="2">
        <v>0</v>
      </c>
      <c r="R419" s="5">
        <v>35</v>
      </c>
      <c r="S419" s="5">
        <v>0</v>
      </c>
      <c r="T419" s="2">
        <v>35</v>
      </c>
      <c r="U419" t="s">
        <v>3</v>
      </c>
      <c r="V419" t="s">
        <v>1322</v>
      </c>
      <c r="W419" s="5">
        <v>29.41</v>
      </c>
    </row>
    <row r="420" spans="1:23" ht="15" x14ac:dyDescent="0.2">
      <c r="A420" t="s">
        <v>1009</v>
      </c>
      <c r="B420" s="1">
        <f>45915</f>
        <v>45915</v>
      </c>
      <c r="C420" t="s">
        <v>0</v>
      </c>
      <c r="D420">
        <v>108108</v>
      </c>
      <c r="E420" s="2">
        <v>25004557</v>
      </c>
      <c r="F420" s="2">
        <v>1</v>
      </c>
      <c r="G420" t="s">
        <v>1434</v>
      </c>
      <c r="H420" t="s">
        <v>1116</v>
      </c>
      <c r="I420" t="s">
        <v>1647</v>
      </c>
      <c r="J420" t="s">
        <v>1326</v>
      </c>
      <c r="K420" s="3">
        <v>1</v>
      </c>
      <c r="L420" s="4">
        <v>22.9</v>
      </c>
      <c r="O420" t="s">
        <v>2</v>
      </c>
      <c r="P420" t="s">
        <v>657</v>
      </c>
      <c r="Q420" s="2">
        <v>0</v>
      </c>
      <c r="R420" s="5">
        <v>22.9</v>
      </c>
      <c r="S420" s="5">
        <v>0</v>
      </c>
      <c r="T420" s="2">
        <v>23</v>
      </c>
      <c r="U420" t="s">
        <v>3</v>
      </c>
      <c r="V420" t="s">
        <v>1322</v>
      </c>
      <c r="W420" s="5">
        <v>19.239999999999998</v>
      </c>
    </row>
    <row r="421" spans="1:23" ht="15" x14ac:dyDescent="0.2">
      <c r="A421" t="s">
        <v>1009</v>
      </c>
      <c r="B421" s="1">
        <f>45915</f>
        <v>45915</v>
      </c>
      <c r="C421" t="s">
        <v>0</v>
      </c>
      <c r="D421">
        <v>108108</v>
      </c>
      <c r="E421" s="2">
        <v>25004558</v>
      </c>
      <c r="F421" s="2">
        <v>1</v>
      </c>
      <c r="G421" t="s">
        <v>1519</v>
      </c>
      <c r="H421" t="s">
        <v>1199</v>
      </c>
      <c r="I421" t="s">
        <v>1831</v>
      </c>
      <c r="J421" t="s">
        <v>1325</v>
      </c>
      <c r="K421" s="3">
        <v>1</v>
      </c>
      <c r="L421" s="4">
        <v>174.3</v>
      </c>
      <c r="O421" t="s">
        <v>2</v>
      </c>
      <c r="P421" t="s">
        <v>658</v>
      </c>
      <c r="Q421" s="2">
        <v>30</v>
      </c>
      <c r="R421" s="5">
        <v>249</v>
      </c>
      <c r="S421" s="5">
        <v>74.7</v>
      </c>
      <c r="T421" s="2">
        <v>174</v>
      </c>
      <c r="U421" t="s">
        <v>3</v>
      </c>
      <c r="V421" t="s">
        <v>182</v>
      </c>
      <c r="W421" s="5">
        <v>146.47</v>
      </c>
    </row>
    <row r="422" spans="1:23" ht="15" x14ac:dyDescent="0.2">
      <c r="A422" t="s">
        <v>1009</v>
      </c>
      <c r="B422" s="1">
        <f>45915</f>
        <v>45915</v>
      </c>
      <c r="C422" t="s">
        <v>0</v>
      </c>
      <c r="D422">
        <v>108108</v>
      </c>
      <c r="E422" s="2">
        <v>25004559</v>
      </c>
      <c r="F422" s="2">
        <v>1</v>
      </c>
      <c r="G422" t="s">
        <v>1333</v>
      </c>
      <c r="H422" t="s">
        <v>1015</v>
      </c>
      <c r="I422" t="s">
        <v>1832</v>
      </c>
      <c r="J422" t="s">
        <v>1325</v>
      </c>
      <c r="K422" s="3">
        <v>1</v>
      </c>
      <c r="L422" s="4">
        <v>21.9</v>
      </c>
      <c r="O422" t="s">
        <v>2</v>
      </c>
      <c r="P422" t="s">
        <v>659</v>
      </c>
      <c r="Q422" s="2">
        <v>0</v>
      </c>
      <c r="R422" s="5">
        <v>21.9</v>
      </c>
      <c r="S422" s="5">
        <v>0</v>
      </c>
      <c r="T422" s="2">
        <v>22</v>
      </c>
      <c r="U422" t="s">
        <v>3</v>
      </c>
      <c r="V422" t="s">
        <v>183</v>
      </c>
      <c r="W422" s="5">
        <v>22.6</v>
      </c>
    </row>
    <row r="423" spans="1:23" ht="15" x14ac:dyDescent="0.2">
      <c r="A423" t="s">
        <v>1009</v>
      </c>
      <c r="B423" s="1">
        <f>45915</f>
        <v>45915</v>
      </c>
      <c r="C423" t="s">
        <v>0</v>
      </c>
      <c r="D423">
        <v>108108</v>
      </c>
      <c r="E423" s="2">
        <v>25004559</v>
      </c>
      <c r="F423" s="2">
        <v>2</v>
      </c>
      <c r="G423" t="s">
        <v>1332</v>
      </c>
      <c r="H423" t="s">
        <v>362</v>
      </c>
      <c r="I423" t="s">
        <v>1832</v>
      </c>
      <c r="J423" t="s">
        <v>1325</v>
      </c>
      <c r="K423" s="3">
        <v>1</v>
      </c>
      <c r="L423" s="4">
        <v>5</v>
      </c>
      <c r="O423" t="s">
        <v>2</v>
      </c>
      <c r="P423" t="s">
        <v>659</v>
      </c>
      <c r="Q423" s="2">
        <v>0</v>
      </c>
      <c r="R423" s="5">
        <v>5</v>
      </c>
      <c r="S423" s="5">
        <v>0</v>
      </c>
      <c r="T423" s="2">
        <v>5</v>
      </c>
      <c r="U423" t="s">
        <v>3</v>
      </c>
      <c r="V423" t="s">
        <v>183</v>
      </c>
      <c r="W423" s="5">
        <v>22.6</v>
      </c>
    </row>
    <row r="424" spans="1:23" ht="15" x14ac:dyDescent="0.2">
      <c r="A424" t="s">
        <v>1009</v>
      </c>
      <c r="B424" s="1">
        <f>45915</f>
        <v>45915</v>
      </c>
      <c r="C424" t="s">
        <v>0</v>
      </c>
      <c r="D424">
        <v>108108</v>
      </c>
      <c r="E424" s="2">
        <v>25004560</v>
      </c>
      <c r="F424" s="2">
        <v>1</v>
      </c>
      <c r="G424" t="s">
        <v>1368</v>
      </c>
      <c r="H424" t="s">
        <v>1050</v>
      </c>
      <c r="I424" t="s">
        <v>1833</v>
      </c>
      <c r="J424" t="s">
        <v>1324</v>
      </c>
      <c r="K424" s="3">
        <v>1</v>
      </c>
      <c r="L424" s="4">
        <v>34</v>
      </c>
      <c r="O424" t="s">
        <v>2</v>
      </c>
      <c r="P424" t="s">
        <v>660</v>
      </c>
      <c r="Q424" s="2">
        <v>0</v>
      </c>
      <c r="R424" s="5">
        <v>34</v>
      </c>
      <c r="S424" s="5">
        <v>0</v>
      </c>
      <c r="T424" s="2">
        <v>34</v>
      </c>
      <c r="U424" t="s">
        <v>3</v>
      </c>
      <c r="V424" t="s">
        <v>184</v>
      </c>
      <c r="W424" s="5">
        <v>28.57</v>
      </c>
    </row>
    <row r="425" spans="1:23" ht="15" x14ac:dyDescent="0.2">
      <c r="A425" t="s">
        <v>1009</v>
      </c>
      <c r="B425" s="1">
        <f>45915</f>
        <v>45915</v>
      </c>
      <c r="C425" t="s">
        <v>0</v>
      </c>
      <c r="D425">
        <v>108108</v>
      </c>
      <c r="E425" s="2">
        <v>25004561</v>
      </c>
      <c r="F425" s="2">
        <v>1</v>
      </c>
      <c r="G425" t="s">
        <v>1538</v>
      </c>
      <c r="H425" t="s">
        <v>1217</v>
      </c>
      <c r="I425" t="s">
        <v>1834</v>
      </c>
      <c r="J425" t="s">
        <v>1326</v>
      </c>
      <c r="K425" s="3">
        <v>1</v>
      </c>
      <c r="L425" s="4">
        <v>22.5</v>
      </c>
      <c r="O425" t="s">
        <v>2</v>
      </c>
      <c r="P425" t="s">
        <v>661</v>
      </c>
      <c r="Q425" s="2">
        <v>0</v>
      </c>
      <c r="R425" s="5">
        <v>22.5</v>
      </c>
      <c r="S425" s="5">
        <v>0</v>
      </c>
      <c r="T425" s="2">
        <v>23</v>
      </c>
      <c r="U425" t="s">
        <v>3</v>
      </c>
      <c r="V425" t="s">
        <v>185</v>
      </c>
      <c r="W425" s="5">
        <v>26.01</v>
      </c>
    </row>
    <row r="426" spans="1:23" ht="15" x14ac:dyDescent="0.2">
      <c r="A426" t="s">
        <v>1009</v>
      </c>
      <c r="B426" s="1">
        <f>45915</f>
        <v>45915</v>
      </c>
      <c r="C426" t="s">
        <v>0</v>
      </c>
      <c r="D426">
        <v>108108</v>
      </c>
      <c r="E426" s="2">
        <v>25004561</v>
      </c>
      <c r="F426" s="2">
        <v>2</v>
      </c>
      <c r="G426" t="s">
        <v>1371</v>
      </c>
      <c r="H426" t="s">
        <v>1053</v>
      </c>
      <c r="I426" t="s">
        <v>1834</v>
      </c>
      <c r="J426" t="s">
        <v>1326</v>
      </c>
      <c r="K426" s="3">
        <v>1</v>
      </c>
      <c r="L426" s="4">
        <v>8.4499999999999993</v>
      </c>
      <c r="O426" t="s">
        <v>2</v>
      </c>
      <c r="P426" t="s">
        <v>661</v>
      </c>
      <c r="Q426" s="2">
        <v>0</v>
      </c>
      <c r="R426" s="5">
        <v>8.4499999999999993</v>
      </c>
      <c r="S426" s="5">
        <v>0</v>
      </c>
      <c r="T426" s="2">
        <v>8</v>
      </c>
      <c r="U426" t="s">
        <v>3</v>
      </c>
      <c r="V426" t="s">
        <v>185</v>
      </c>
      <c r="W426" s="5">
        <v>26.01</v>
      </c>
    </row>
    <row r="427" spans="1:23" ht="15" x14ac:dyDescent="0.2">
      <c r="A427" t="s">
        <v>1009</v>
      </c>
      <c r="B427" s="1">
        <f>45915</f>
        <v>45915</v>
      </c>
      <c r="C427" t="s">
        <v>0</v>
      </c>
      <c r="D427">
        <v>108108</v>
      </c>
      <c r="E427" s="2">
        <v>25004562</v>
      </c>
      <c r="F427" s="2">
        <v>1</v>
      </c>
      <c r="G427" t="s">
        <v>1539</v>
      </c>
      <c r="H427" t="s">
        <v>1218</v>
      </c>
      <c r="I427" t="s">
        <v>1647</v>
      </c>
      <c r="J427" t="s">
        <v>1326</v>
      </c>
      <c r="K427" s="3">
        <v>1</v>
      </c>
      <c r="L427" s="4">
        <v>21.9</v>
      </c>
      <c r="O427" t="s">
        <v>2</v>
      </c>
      <c r="P427" t="s">
        <v>662</v>
      </c>
      <c r="Q427" s="2">
        <v>0</v>
      </c>
      <c r="R427" s="5">
        <v>21.9</v>
      </c>
      <c r="S427" s="5">
        <v>0</v>
      </c>
      <c r="T427" s="2">
        <v>22</v>
      </c>
      <c r="U427" t="s">
        <v>3</v>
      </c>
      <c r="V427" t="s">
        <v>1322</v>
      </c>
      <c r="W427" s="5">
        <v>18.399999999999999</v>
      </c>
    </row>
    <row r="428" spans="1:23" ht="15" x14ac:dyDescent="0.2">
      <c r="A428" t="s">
        <v>1009</v>
      </c>
      <c r="B428" s="1">
        <f>45915</f>
        <v>45915</v>
      </c>
      <c r="C428" t="s">
        <v>0</v>
      </c>
      <c r="D428">
        <v>108108</v>
      </c>
      <c r="E428" s="2">
        <v>25004563</v>
      </c>
      <c r="F428" s="2">
        <v>1</v>
      </c>
      <c r="G428" t="s">
        <v>1540</v>
      </c>
      <c r="H428" t="s">
        <v>1219</v>
      </c>
      <c r="I428" t="s">
        <v>1835</v>
      </c>
      <c r="J428" t="s">
        <v>1324</v>
      </c>
      <c r="K428" s="3">
        <v>1</v>
      </c>
      <c r="L428" s="4">
        <v>94.5</v>
      </c>
      <c r="O428" t="s">
        <v>2</v>
      </c>
      <c r="P428" t="s">
        <v>663</v>
      </c>
      <c r="Q428" s="2">
        <v>50</v>
      </c>
      <c r="R428" s="5">
        <v>189</v>
      </c>
      <c r="S428" s="5">
        <v>94.5</v>
      </c>
      <c r="T428" s="2">
        <v>95</v>
      </c>
      <c r="U428" t="s">
        <v>3</v>
      </c>
      <c r="V428" t="s">
        <v>186</v>
      </c>
      <c r="W428" s="5">
        <v>94.12</v>
      </c>
    </row>
    <row r="429" spans="1:23" ht="15" x14ac:dyDescent="0.2">
      <c r="A429" t="s">
        <v>1009</v>
      </c>
      <c r="B429" s="1">
        <f>45915</f>
        <v>45915</v>
      </c>
      <c r="C429" t="s">
        <v>0</v>
      </c>
      <c r="D429">
        <v>108108</v>
      </c>
      <c r="E429" s="2">
        <v>25004563</v>
      </c>
      <c r="F429" s="2">
        <v>2</v>
      </c>
      <c r="G429" t="s">
        <v>1450</v>
      </c>
      <c r="H429" t="s">
        <v>1132</v>
      </c>
      <c r="I429" t="s">
        <v>1835</v>
      </c>
      <c r="J429" t="s">
        <v>1324</v>
      </c>
      <c r="K429" s="3">
        <v>1</v>
      </c>
      <c r="L429" s="4">
        <v>17.5</v>
      </c>
      <c r="O429" t="s">
        <v>2</v>
      </c>
      <c r="P429" t="s">
        <v>663</v>
      </c>
      <c r="Q429" s="2">
        <v>50</v>
      </c>
      <c r="R429" s="5">
        <v>35</v>
      </c>
      <c r="S429" s="5">
        <v>17.5</v>
      </c>
      <c r="T429" s="2">
        <v>18</v>
      </c>
      <c r="U429" t="s">
        <v>3</v>
      </c>
      <c r="V429" t="s">
        <v>186</v>
      </c>
      <c r="W429" s="5">
        <v>94.12</v>
      </c>
    </row>
    <row r="430" spans="1:23" ht="15" x14ac:dyDescent="0.2">
      <c r="A430" t="s">
        <v>1009</v>
      </c>
      <c r="B430" s="1">
        <f>45915</f>
        <v>45915</v>
      </c>
      <c r="C430" t="s">
        <v>0</v>
      </c>
      <c r="D430">
        <v>108108</v>
      </c>
      <c r="E430" s="2">
        <v>25004564</v>
      </c>
      <c r="F430" s="2">
        <v>1</v>
      </c>
      <c r="G430" t="s">
        <v>1541</v>
      </c>
      <c r="H430" t="s">
        <v>1220</v>
      </c>
      <c r="I430" t="s">
        <v>1836</v>
      </c>
      <c r="J430" t="s">
        <v>1326</v>
      </c>
      <c r="K430" s="3">
        <v>1</v>
      </c>
      <c r="L430" s="4">
        <v>123.25</v>
      </c>
      <c r="O430" t="s">
        <v>2</v>
      </c>
      <c r="P430" t="s">
        <v>664</v>
      </c>
      <c r="Q430" s="2">
        <v>15</v>
      </c>
      <c r="R430" s="5">
        <v>145</v>
      </c>
      <c r="S430" s="5">
        <v>21.75</v>
      </c>
      <c r="T430" s="2">
        <v>123</v>
      </c>
      <c r="U430" t="s">
        <v>3</v>
      </c>
      <c r="V430" t="s">
        <v>186</v>
      </c>
      <c r="W430" s="5">
        <v>174.91</v>
      </c>
    </row>
    <row r="431" spans="1:23" ht="15" x14ac:dyDescent="0.2">
      <c r="A431" t="s">
        <v>1009</v>
      </c>
      <c r="B431" s="1">
        <f>45915</f>
        <v>45915</v>
      </c>
      <c r="C431" t="s">
        <v>0</v>
      </c>
      <c r="D431">
        <v>108108</v>
      </c>
      <c r="E431" s="2">
        <v>25004564</v>
      </c>
      <c r="F431" s="2">
        <v>2</v>
      </c>
      <c r="G431" t="s">
        <v>1376</v>
      </c>
      <c r="H431" t="s">
        <v>1058</v>
      </c>
      <c r="I431" t="s">
        <v>1836</v>
      </c>
      <c r="J431" t="s">
        <v>1326</v>
      </c>
      <c r="K431" s="3">
        <v>1</v>
      </c>
      <c r="L431" s="4">
        <v>84.9</v>
      </c>
      <c r="O431" t="s">
        <v>2</v>
      </c>
      <c r="P431" t="s">
        <v>664</v>
      </c>
      <c r="Q431" s="2">
        <v>0</v>
      </c>
      <c r="R431" s="5">
        <v>84.9</v>
      </c>
      <c r="S431" s="5">
        <v>0</v>
      </c>
      <c r="T431" s="2">
        <v>85</v>
      </c>
      <c r="U431" t="s">
        <v>3</v>
      </c>
      <c r="V431" t="s">
        <v>186</v>
      </c>
      <c r="W431" s="5">
        <v>174.91</v>
      </c>
    </row>
    <row r="432" spans="1:23" ht="15" x14ac:dyDescent="0.2">
      <c r="A432" t="s">
        <v>1009</v>
      </c>
      <c r="B432" s="1">
        <f>45915</f>
        <v>45915</v>
      </c>
      <c r="C432" t="s">
        <v>0</v>
      </c>
      <c r="D432">
        <v>108108</v>
      </c>
      <c r="E432" s="2">
        <v>25004565</v>
      </c>
      <c r="F432" s="2">
        <v>1</v>
      </c>
      <c r="G432" t="s">
        <v>1542</v>
      </c>
      <c r="H432" t="s">
        <v>1221</v>
      </c>
      <c r="I432" t="s">
        <v>1837</v>
      </c>
      <c r="J432" t="s">
        <v>1324</v>
      </c>
      <c r="K432" s="3">
        <v>1</v>
      </c>
      <c r="L432" s="4">
        <v>26.9</v>
      </c>
      <c r="O432" t="s">
        <v>2</v>
      </c>
      <c r="P432" t="s">
        <v>665</v>
      </c>
      <c r="Q432" s="2">
        <v>0</v>
      </c>
      <c r="R432" s="5">
        <v>26.9</v>
      </c>
      <c r="S432" s="5">
        <v>0</v>
      </c>
      <c r="T432" s="2">
        <v>27</v>
      </c>
      <c r="U432" t="s">
        <v>3</v>
      </c>
      <c r="V432" t="s">
        <v>187</v>
      </c>
      <c r="W432" s="5">
        <v>26.81</v>
      </c>
    </row>
    <row r="433" spans="1:23" ht="15" x14ac:dyDescent="0.2">
      <c r="A433" t="s">
        <v>1009</v>
      </c>
      <c r="B433" s="1">
        <f>45915</f>
        <v>45915</v>
      </c>
      <c r="C433" t="s">
        <v>0</v>
      </c>
      <c r="D433">
        <v>108108</v>
      </c>
      <c r="E433" s="2">
        <v>25004565</v>
      </c>
      <c r="F433" s="2">
        <v>2</v>
      </c>
      <c r="G433" t="s">
        <v>1332</v>
      </c>
      <c r="H433" t="s">
        <v>362</v>
      </c>
      <c r="I433" t="s">
        <v>1837</v>
      </c>
      <c r="J433" t="s">
        <v>1324</v>
      </c>
      <c r="K433" s="3">
        <v>1</v>
      </c>
      <c r="L433" s="4">
        <v>5</v>
      </c>
      <c r="O433" t="s">
        <v>2</v>
      </c>
      <c r="P433" t="s">
        <v>665</v>
      </c>
      <c r="Q433" s="2">
        <v>0</v>
      </c>
      <c r="R433" s="5">
        <v>5</v>
      </c>
      <c r="S433" s="5">
        <v>0</v>
      </c>
      <c r="T433" s="2">
        <v>5</v>
      </c>
      <c r="U433" t="s">
        <v>3</v>
      </c>
      <c r="V433" t="s">
        <v>187</v>
      </c>
      <c r="W433" s="5">
        <v>26.81</v>
      </c>
    </row>
    <row r="434" spans="1:23" ht="15" x14ac:dyDescent="0.2">
      <c r="A434" t="s">
        <v>1009</v>
      </c>
      <c r="B434" s="1">
        <f>45915</f>
        <v>45915</v>
      </c>
      <c r="C434" t="s">
        <v>0</v>
      </c>
      <c r="D434">
        <v>108108</v>
      </c>
      <c r="E434" s="2">
        <v>25004566</v>
      </c>
      <c r="F434" s="2">
        <v>1</v>
      </c>
      <c r="G434" t="s">
        <v>1332</v>
      </c>
      <c r="H434" t="s">
        <v>362</v>
      </c>
      <c r="I434" t="s">
        <v>1838</v>
      </c>
      <c r="J434" t="s">
        <v>1326</v>
      </c>
      <c r="K434" s="3">
        <v>1</v>
      </c>
      <c r="L434" s="4">
        <v>5</v>
      </c>
      <c r="O434" t="s">
        <v>2</v>
      </c>
      <c r="P434" t="s">
        <v>666</v>
      </c>
      <c r="Q434" s="2">
        <v>0</v>
      </c>
      <c r="R434" s="5">
        <v>5</v>
      </c>
      <c r="S434" s="5">
        <v>0</v>
      </c>
      <c r="T434" s="2">
        <v>5</v>
      </c>
      <c r="U434" t="s">
        <v>3</v>
      </c>
      <c r="V434" t="s">
        <v>188</v>
      </c>
      <c r="W434" s="5">
        <v>50.67</v>
      </c>
    </row>
    <row r="435" spans="1:23" ht="15" x14ac:dyDescent="0.2">
      <c r="A435" t="s">
        <v>1009</v>
      </c>
      <c r="B435" s="1">
        <f>45915</f>
        <v>45915</v>
      </c>
      <c r="C435" t="s">
        <v>0</v>
      </c>
      <c r="D435">
        <v>108108</v>
      </c>
      <c r="E435" s="2">
        <v>25004566</v>
      </c>
      <c r="F435" s="2">
        <v>2</v>
      </c>
      <c r="G435" t="s">
        <v>1543</v>
      </c>
      <c r="H435" t="s">
        <v>1222</v>
      </c>
      <c r="I435" t="s">
        <v>1838</v>
      </c>
      <c r="J435" t="s">
        <v>1326</v>
      </c>
      <c r="K435" s="3">
        <v>1</v>
      </c>
      <c r="L435" s="4">
        <v>18.899999999999999</v>
      </c>
      <c r="O435" t="s">
        <v>2</v>
      </c>
      <c r="P435" t="s">
        <v>666</v>
      </c>
      <c r="Q435" s="2">
        <v>0</v>
      </c>
      <c r="R435" s="5">
        <v>18.899999999999999</v>
      </c>
      <c r="S435" s="5">
        <v>0</v>
      </c>
      <c r="T435" s="2">
        <v>19</v>
      </c>
      <c r="U435" t="s">
        <v>3</v>
      </c>
      <c r="V435" t="s">
        <v>188</v>
      </c>
      <c r="W435" s="5">
        <v>50.67</v>
      </c>
    </row>
    <row r="436" spans="1:23" ht="15" x14ac:dyDescent="0.2">
      <c r="A436" t="s">
        <v>1009</v>
      </c>
      <c r="B436" s="1">
        <f>45915</f>
        <v>45915</v>
      </c>
      <c r="C436" t="s">
        <v>0</v>
      </c>
      <c r="D436">
        <v>108108</v>
      </c>
      <c r="E436" s="2">
        <v>25004566</v>
      </c>
      <c r="F436" s="2">
        <v>3</v>
      </c>
      <c r="G436" t="s">
        <v>1544</v>
      </c>
      <c r="H436" t="s">
        <v>1223</v>
      </c>
      <c r="I436" t="s">
        <v>1838</v>
      </c>
      <c r="J436" t="s">
        <v>1326</v>
      </c>
      <c r="K436" s="3">
        <v>1</v>
      </c>
      <c r="L436" s="4">
        <v>18.899999999999999</v>
      </c>
      <c r="O436" t="s">
        <v>2</v>
      </c>
      <c r="P436" t="s">
        <v>666</v>
      </c>
      <c r="Q436" s="2">
        <v>0</v>
      </c>
      <c r="R436" s="5">
        <v>18.899999999999999</v>
      </c>
      <c r="S436" s="5">
        <v>0</v>
      </c>
      <c r="T436" s="2">
        <v>19</v>
      </c>
      <c r="U436" t="s">
        <v>3</v>
      </c>
      <c r="V436" t="s">
        <v>188</v>
      </c>
      <c r="W436" s="5">
        <v>50.67</v>
      </c>
    </row>
    <row r="437" spans="1:23" ht="15" x14ac:dyDescent="0.2">
      <c r="A437" t="s">
        <v>1009</v>
      </c>
      <c r="B437" s="1">
        <f>45915</f>
        <v>45915</v>
      </c>
      <c r="C437" t="s">
        <v>0</v>
      </c>
      <c r="D437">
        <v>108108</v>
      </c>
      <c r="E437" s="2">
        <v>25004566</v>
      </c>
      <c r="F437" s="2">
        <v>4</v>
      </c>
      <c r="G437" t="s">
        <v>1545</v>
      </c>
      <c r="H437" t="s">
        <v>1224</v>
      </c>
      <c r="I437" t="s">
        <v>1838</v>
      </c>
      <c r="J437" t="s">
        <v>1326</v>
      </c>
      <c r="K437" s="3">
        <v>1</v>
      </c>
      <c r="L437" s="4">
        <v>17.5</v>
      </c>
      <c r="O437" t="s">
        <v>2</v>
      </c>
      <c r="P437" t="s">
        <v>666</v>
      </c>
      <c r="Q437" s="2">
        <v>50</v>
      </c>
      <c r="R437" s="5">
        <v>35</v>
      </c>
      <c r="S437" s="5">
        <v>17.5</v>
      </c>
      <c r="T437" s="2">
        <v>18</v>
      </c>
      <c r="U437" t="s">
        <v>3</v>
      </c>
      <c r="V437" t="s">
        <v>188</v>
      </c>
      <c r="W437" s="5">
        <v>50.67</v>
      </c>
    </row>
    <row r="438" spans="1:23" ht="15" x14ac:dyDescent="0.2">
      <c r="A438" t="s">
        <v>1009</v>
      </c>
      <c r="B438" s="1">
        <f>45915</f>
        <v>45915</v>
      </c>
      <c r="C438" t="s">
        <v>0</v>
      </c>
      <c r="D438">
        <v>108108</v>
      </c>
      <c r="E438" s="2">
        <v>25004567</v>
      </c>
      <c r="F438" s="2">
        <v>1</v>
      </c>
      <c r="G438" t="s">
        <v>1448</v>
      </c>
      <c r="H438" t="s">
        <v>1130</v>
      </c>
      <c r="I438" t="s">
        <v>1839</v>
      </c>
      <c r="J438" t="s">
        <v>1324</v>
      </c>
      <c r="K438" s="3">
        <v>1</v>
      </c>
      <c r="L438" s="4">
        <v>12</v>
      </c>
      <c r="O438" t="s">
        <v>2</v>
      </c>
      <c r="P438" t="s">
        <v>667</v>
      </c>
      <c r="Q438" s="2">
        <v>0</v>
      </c>
      <c r="R438" s="5">
        <v>12</v>
      </c>
      <c r="S438" s="5">
        <v>0</v>
      </c>
      <c r="T438" s="2">
        <v>12</v>
      </c>
      <c r="U438" t="s">
        <v>3</v>
      </c>
      <c r="V438" t="s">
        <v>189</v>
      </c>
      <c r="W438" s="5">
        <v>32.68</v>
      </c>
    </row>
    <row r="439" spans="1:23" ht="15" x14ac:dyDescent="0.2">
      <c r="A439" t="s">
        <v>1009</v>
      </c>
      <c r="B439" s="1">
        <f>45915</f>
        <v>45915</v>
      </c>
      <c r="C439" t="s">
        <v>0</v>
      </c>
      <c r="D439">
        <v>108108</v>
      </c>
      <c r="E439" s="2">
        <v>25004567</v>
      </c>
      <c r="F439" s="2">
        <v>2</v>
      </c>
      <c r="G439" t="s">
        <v>1349</v>
      </c>
      <c r="H439" t="s">
        <v>1031</v>
      </c>
      <c r="I439" t="s">
        <v>1839</v>
      </c>
      <c r="J439" t="s">
        <v>1324</v>
      </c>
      <c r="K439" s="3">
        <v>1</v>
      </c>
      <c r="L439" s="4">
        <v>21.9</v>
      </c>
      <c r="O439" t="s">
        <v>2</v>
      </c>
      <c r="P439" t="s">
        <v>667</v>
      </c>
      <c r="Q439" s="2">
        <v>0</v>
      </c>
      <c r="R439" s="5">
        <v>21.9</v>
      </c>
      <c r="S439" s="5">
        <v>0</v>
      </c>
      <c r="T439" s="2">
        <v>22</v>
      </c>
      <c r="U439" t="s">
        <v>3</v>
      </c>
      <c r="V439" t="s">
        <v>189</v>
      </c>
      <c r="W439" s="5">
        <v>32.68</v>
      </c>
    </row>
    <row r="440" spans="1:23" ht="15" x14ac:dyDescent="0.2">
      <c r="A440" t="s">
        <v>1009</v>
      </c>
      <c r="B440" s="1">
        <f>45915</f>
        <v>45915</v>
      </c>
      <c r="C440" t="s">
        <v>0</v>
      </c>
      <c r="D440">
        <v>108108</v>
      </c>
      <c r="E440" s="2">
        <v>25004567</v>
      </c>
      <c r="F440" s="2">
        <v>3</v>
      </c>
      <c r="G440" t="s">
        <v>1332</v>
      </c>
      <c r="H440" t="s">
        <v>362</v>
      </c>
      <c r="I440" t="s">
        <v>1839</v>
      </c>
      <c r="J440" t="s">
        <v>1324</v>
      </c>
      <c r="K440" s="3">
        <v>1</v>
      </c>
      <c r="L440" s="4">
        <v>5</v>
      </c>
      <c r="O440" t="s">
        <v>2</v>
      </c>
      <c r="P440" t="s">
        <v>667</v>
      </c>
      <c r="Q440" s="2">
        <v>0</v>
      </c>
      <c r="R440" s="5">
        <v>5</v>
      </c>
      <c r="S440" s="5">
        <v>0</v>
      </c>
      <c r="T440" s="2">
        <v>5</v>
      </c>
      <c r="U440" t="s">
        <v>3</v>
      </c>
      <c r="V440" t="s">
        <v>189</v>
      </c>
      <c r="W440" s="5">
        <v>32.68</v>
      </c>
    </row>
    <row r="441" spans="1:23" ht="15" x14ac:dyDescent="0.2">
      <c r="A441" t="s">
        <v>1009</v>
      </c>
      <c r="B441" s="1">
        <f>45915</f>
        <v>45915</v>
      </c>
      <c r="C441" t="s">
        <v>0</v>
      </c>
      <c r="D441">
        <v>108108</v>
      </c>
      <c r="E441" s="2">
        <v>25004568</v>
      </c>
      <c r="F441" s="2">
        <v>1</v>
      </c>
      <c r="G441" t="s">
        <v>1501</v>
      </c>
      <c r="H441" t="s">
        <v>1182</v>
      </c>
      <c r="I441" t="s">
        <v>1647</v>
      </c>
      <c r="J441" t="s">
        <v>1324</v>
      </c>
      <c r="K441" s="3">
        <v>1</v>
      </c>
      <c r="L441" s="4">
        <v>26.9</v>
      </c>
      <c r="O441" t="s">
        <v>2</v>
      </c>
      <c r="P441" t="s">
        <v>668</v>
      </c>
      <c r="Q441" s="2">
        <v>0</v>
      </c>
      <c r="R441" s="5">
        <v>26.9</v>
      </c>
      <c r="S441" s="5">
        <v>0</v>
      </c>
      <c r="T441" s="2">
        <v>27</v>
      </c>
      <c r="U441" t="s">
        <v>3</v>
      </c>
      <c r="V441" t="s">
        <v>1322</v>
      </c>
      <c r="W441" s="5">
        <v>22.61</v>
      </c>
    </row>
    <row r="442" spans="1:23" ht="15" x14ac:dyDescent="0.2">
      <c r="A442" t="s">
        <v>1009</v>
      </c>
      <c r="B442" s="1">
        <f>45915</f>
        <v>45915</v>
      </c>
      <c r="C442" t="s">
        <v>0</v>
      </c>
      <c r="D442">
        <v>108108</v>
      </c>
      <c r="E442" s="2">
        <v>25004569</v>
      </c>
      <c r="F442" s="2">
        <v>1</v>
      </c>
      <c r="G442" t="s">
        <v>1335</v>
      </c>
      <c r="H442" t="s">
        <v>1017</v>
      </c>
      <c r="I442" t="s">
        <v>1840</v>
      </c>
      <c r="J442" t="s">
        <v>1326</v>
      </c>
      <c r="K442" s="3">
        <v>1</v>
      </c>
      <c r="L442" s="4">
        <v>26.9</v>
      </c>
      <c r="O442" t="s">
        <v>2</v>
      </c>
      <c r="P442" t="s">
        <v>669</v>
      </c>
      <c r="Q442" s="2">
        <v>0</v>
      </c>
      <c r="R442" s="5">
        <v>26.9</v>
      </c>
      <c r="S442" s="5">
        <v>0</v>
      </c>
      <c r="T442" s="2">
        <v>27</v>
      </c>
      <c r="U442" t="s">
        <v>3</v>
      </c>
      <c r="V442" t="s">
        <v>190</v>
      </c>
      <c r="W442" s="5">
        <v>22.61</v>
      </c>
    </row>
    <row r="443" spans="1:23" ht="15" x14ac:dyDescent="0.2">
      <c r="A443" t="s">
        <v>1009</v>
      </c>
      <c r="B443" s="1">
        <f>45915</f>
        <v>45915</v>
      </c>
      <c r="C443" t="s">
        <v>0</v>
      </c>
      <c r="D443">
        <v>108108</v>
      </c>
      <c r="E443" s="2">
        <v>25004570</v>
      </c>
      <c r="F443" s="2">
        <v>1</v>
      </c>
      <c r="G443" t="s">
        <v>1393</v>
      </c>
      <c r="H443" t="s">
        <v>1075</v>
      </c>
      <c r="I443" t="s">
        <v>1841</v>
      </c>
      <c r="J443" t="s">
        <v>1324</v>
      </c>
      <c r="K443" s="3">
        <v>1</v>
      </c>
      <c r="L443" s="4">
        <v>33</v>
      </c>
      <c r="O443" t="s">
        <v>2</v>
      </c>
      <c r="P443" t="s">
        <v>670</v>
      </c>
      <c r="Q443" s="2">
        <v>0</v>
      </c>
      <c r="R443" s="5">
        <v>33</v>
      </c>
      <c r="S443" s="5">
        <v>0</v>
      </c>
      <c r="T443" s="2">
        <v>33</v>
      </c>
      <c r="U443" t="s">
        <v>3</v>
      </c>
      <c r="V443" t="s">
        <v>191</v>
      </c>
      <c r="W443" s="5">
        <v>55.37</v>
      </c>
    </row>
    <row r="444" spans="1:23" ht="15" x14ac:dyDescent="0.2">
      <c r="A444" t="s">
        <v>1009</v>
      </c>
      <c r="B444" s="1">
        <f>45915</f>
        <v>45915</v>
      </c>
      <c r="C444" t="s">
        <v>0</v>
      </c>
      <c r="D444">
        <v>108108</v>
      </c>
      <c r="E444" s="2">
        <v>25004570</v>
      </c>
      <c r="F444" s="2">
        <v>2</v>
      </c>
      <c r="G444" t="s">
        <v>1342</v>
      </c>
      <c r="H444" t="s">
        <v>1024</v>
      </c>
      <c r="I444" t="s">
        <v>1841</v>
      </c>
      <c r="J444" t="s">
        <v>1324</v>
      </c>
      <c r="K444" s="3">
        <v>1</v>
      </c>
      <c r="L444" s="4">
        <v>21.9</v>
      </c>
      <c r="O444" t="s">
        <v>2</v>
      </c>
      <c r="P444" t="s">
        <v>670</v>
      </c>
      <c r="Q444" s="2">
        <v>0</v>
      </c>
      <c r="R444" s="5">
        <v>21.9</v>
      </c>
      <c r="S444" s="5">
        <v>0</v>
      </c>
      <c r="T444" s="2">
        <v>22</v>
      </c>
      <c r="U444" t="s">
        <v>3</v>
      </c>
      <c r="V444" t="s">
        <v>191</v>
      </c>
      <c r="W444" s="5">
        <v>55.37</v>
      </c>
    </row>
    <row r="445" spans="1:23" ht="15" x14ac:dyDescent="0.2">
      <c r="A445" t="s">
        <v>1009</v>
      </c>
      <c r="B445" s="1">
        <f>45915</f>
        <v>45915</v>
      </c>
      <c r="C445" t="s">
        <v>0</v>
      </c>
      <c r="D445">
        <v>108108</v>
      </c>
      <c r="E445" s="2">
        <v>25004570</v>
      </c>
      <c r="F445" s="2">
        <v>3</v>
      </c>
      <c r="G445" t="s">
        <v>1332</v>
      </c>
      <c r="H445" t="s">
        <v>362</v>
      </c>
      <c r="I445" t="s">
        <v>1841</v>
      </c>
      <c r="J445" t="s">
        <v>1324</v>
      </c>
      <c r="K445" s="3">
        <v>1</v>
      </c>
      <c r="L445" s="4">
        <v>5</v>
      </c>
      <c r="O445" t="s">
        <v>2</v>
      </c>
      <c r="P445" t="s">
        <v>670</v>
      </c>
      <c r="Q445" s="2">
        <v>0</v>
      </c>
      <c r="R445" s="5">
        <v>5</v>
      </c>
      <c r="S445" s="5">
        <v>0</v>
      </c>
      <c r="T445" s="2">
        <v>5</v>
      </c>
      <c r="U445" t="s">
        <v>3</v>
      </c>
      <c r="V445" t="s">
        <v>191</v>
      </c>
      <c r="W445" s="5">
        <v>55.37</v>
      </c>
    </row>
    <row r="446" spans="1:23" ht="15" x14ac:dyDescent="0.2">
      <c r="A446" t="s">
        <v>1009</v>
      </c>
      <c r="B446" s="1">
        <f>45915</f>
        <v>45915</v>
      </c>
      <c r="C446" t="s">
        <v>0</v>
      </c>
      <c r="D446">
        <v>108108</v>
      </c>
      <c r="E446" s="2">
        <v>25004570</v>
      </c>
      <c r="F446" s="2">
        <v>4</v>
      </c>
      <c r="G446" t="s">
        <v>1546</v>
      </c>
      <c r="H446" t="s">
        <v>1225</v>
      </c>
      <c r="I446" t="s">
        <v>1841</v>
      </c>
      <c r="J446" t="s">
        <v>1324</v>
      </c>
      <c r="K446" s="3">
        <v>1</v>
      </c>
      <c r="L446" s="4">
        <v>6</v>
      </c>
      <c r="O446" t="s">
        <v>2</v>
      </c>
      <c r="P446" t="s">
        <v>670</v>
      </c>
      <c r="Q446" s="2">
        <v>0</v>
      </c>
      <c r="R446" s="5">
        <v>6</v>
      </c>
      <c r="S446" s="5">
        <v>0</v>
      </c>
      <c r="T446" s="2">
        <v>6</v>
      </c>
      <c r="U446" t="s">
        <v>3</v>
      </c>
      <c r="V446" t="s">
        <v>191</v>
      </c>
      <c r="W446" s="5">
        <v>55.37</v>
      </c>
    </row>
    <row r="447" spans="1:23" ht="15" x14ac:dyDescent="0.2">
      <c r="A447" t="s">
        <v>1009</v>
      </c>
      <c r="B447" s="1">
        <f>45915</f>
        <v>45915</v>
      </c>
      <c r="C447" t="s">
        <v>0</v>
      </c>
      <c r="D447">
        <v>108108</v>
      </c>
      <c r="E447" s="2">
        <v>25004571</v>
      </c>
      <c r="F447" s="2">
        <v>1</v>
      </c>
      <c r="G447" t="s">
        <v>1447</v>
      </c>
      <c r="H447" t="s">
        <v>1129</v>
      </c>
      <c r="I447" t="s">
        <v>1842</v>
      </c>
      <c r="J447" t="s">
        <v>1324</v>
      </c>
      <c r="K447" s="3">
        <v>1</v>
      </c>
      <c r="L447" s="4">
        <v>26.9</v>
      </c>
      <c r="O447" t="s">
        <v>2</v>
      </c>
      <c r="P447" t="s">
        <v>671</v>
      </c>
      <c r="Q447" s="2">
        <v>0</v>
      </c>
      <c r="R447" s="5">
        <v>26.9</v>
      </c>
      <c r="S447" s="5">
        <v>0</v>
      </c>
      <c r="T447" s="2">
        <v>27</v>
      </c>
      <c r="U447" t="s">
        <v>3</v>
      </c>
      <c r="V447" t="s">
        <v>192</v>
      </c>
      <c r="W447" s="5">
        <v>22.61</v>
      </c>
    </row>
    <row r="448" spans="1:23" ht="15" x14ac:dyDescent="0.2">
      <c r="A448" t="s">
        <v>1009</v>
      </c>
      <c r="B448" s="1">
        <f>45915</f>
        <v>45915</v>
      </c>
      <c r="C448" t="s">
        <v>0</v>
      </c>
      <c r="D448">
        <v>108108</v>
      </c>
      <c r="E448" s="2">
        <v>25004572</v>
      </c>
      <c r="F448" s="2">
        <v>1</v>
      </c>
      <c r="G448" t="s">
        <v>1404</v>
      </c>
      <c r="H448" t="s">
        <v>1086</v>
      </c>
      <c r="I448" t="s">
        <v>1647</v>
      </c>
      <c r="J448" t="s">
        <v>1324</v>
      </c>
      <c r="K448" s="3">
        <v>1</v>
      </c>
      <c r="L448" s="4">
        <v>7.45</v>
      </c>
      <c r="O448" t="s">
        <v>2</v>
      </c>
      <c r="P448" t="s">
        <v>672</v>
      </c>
      <c r="Q448" s="2">
        <v>0</v>
      </c>
      <c r="R448" s="5">
        <v>7.45</v>
      </c>
      <c r="S448" s="5">
        <v>0</v>
      </c>
      <c r="T448" s="2">
        <v>7</v>
      </c>
      <c r="U448" t="s">
        <v>3</v>
      </c>
      <c r="V448" t="s">
        <v>1322</v>
      </c>
      <c r="W448" s="5">
        <v>6.26</v>
      </c>
    </row>
    <row r="449" spans="1:23" ht="15" x14ac:dyDescent="0.2">
      <c r="A449" t="s">
        <v>1009</v>
      </c>
      <c r="B449" s="1">
        <f>45915</f>
        <v>45915</v>
      </c>
      <c r="C449" t="s">
        <v>0</v>
      </c>
      <c r="D449">
        <v>108108</v>
      </c>
      <c r="E449" s="2">
        <v>25004573</v>
      </c>
      <c r="F449" s="2">
        <v>1</v>
      </c>
      <c r="G449" t="s">
        <v>1469</v>
      </c>
      <c r="H449" t="s">
        <v>1150</v>
      </c>
      <c r="I449" t="s">
        <v>1843</v>
      </c>
      <c r="J449" t="s">
        <v>1324</v>
      </c>
      <c r="K449" s="3">
        <v>1</v>
      </c>
      <c r="L449" s="4">
        <v>27.5</v>
      </c>
      <c r="O449" t="s">
        <v>2</v>
      </c>
      <c r="P449" t="s">
        <v>673</v>
      </c>
      <c r="Q449" s="2">
        <v>0</v>
      </c>
      <c r="R449" s="5">
        <v>27.5</v>
      </c>
      <c r="S449" s="5">
        <v>0</v>
      </c>
      <c r="T449" s="2">
        <v>28</v>
      </c>
      <c r="U449" t="s">
        <v>3</v>
      </c>
      <c r="V449" t="s">
        <v>193</v>
      </c>
      <c r="W449" s="5">
        <v>23.11</v>
      </c>
    </row>
    <row r="450" spans="1:23" ht="15" x14ac:dyDescent="0.2">
      <c r="A450" t="s">
        <v>1009</v>
      </c>
      <c r="B450" s="1">
        <f>45915</f>
        <v>45915</v>
      </c>
      <c r="C450" t="s">
        <v>0</v>
      </c>
      <c r="D450">
        <v>108108</v>
      </c>
      <c r="E450" s="2">
        <v>25004574</v>
      </c>
      <c r="F450" s="2">
        <v>1</v>
      </c>
      <c r="G450" t="s">
        <v>1547</v>
      </c>
      <c r="H450" t="s">
        <v>1226</v>
      </c>
      <c r="I450" t="s">
        <v>1647</v>
      </c>
      <c r="J450" t="s">
        <v>1324</v>
      </c>
      <c r="K450" s="3">
        <v>1</v>
      </c>
      <c r="L450" s="4">
        <v>31</v>
      </c>
      <c r="O450" t="s">
        <v>2</v>
      </c>
      <c r="P450" t="s">
        <v>674</v>
      </c>
      <c r="Q450" s="2">
        <v>0</v>
      </c>
      <c r="R450" s="5">
        <v>31</v>
      </c>
      <c r="S450" s="5">
        <v>0</v>
      </c>
      <c r="T450" s="2">
        <v>31</v>
      </c>
      <c r="U450" t="s">
        <v>3</v>
      </c>
      <c r="V450" t="s">
        <v>1322</v>
      </c>
      <c r="W450" s="5">
        <v>26.05</v>
      </c>
    </row>
    <row r="451" spans="1:23" ht="15" x14ac:dyDescent="0.2">
      <c r="A451" t="s">
        <v>1009</v>
      </c>
      <c r="B451" s="1">
        <f>45915</f>
        <v>45915</v>
      </c>
      <c r="C451" t="s">
        <v>0</v>
      </c>
      <c r="D451">
        <v>108108</v>
      </c>
      <c r="E451" s="2">
        <v>25004575</v>
      </c>
      <c r="F451" s="2">
        <v>1</v>
      </c>
      <c r="G451" t="s">
        <v>1519</v>
      </c>
      <c r="H451" t="s">
        <v>1199</v>
      </c>
      <c r="I451" t="s">
        <v>1647</v>
      </c>
      <c r="J451" t="s">
        <v>1324</v>
      </c>
      <c r="K451" s="3">
        <v>1</v>
      </c>
      <c r="L451" s="4">
        <v>174.3</v>
      </c>
      <c r="O451" t="s">
        <v>2</v>
      </c>
      <c r="P451" t="s">
        <v>675</v>
      </c>
      <c r="Q451" s="2">
        <v>30</v>
      </c>
      <c r="R451" s="5">
        <v>249</v>
      </c>
      <c r="S451" s="5">
        <v>74.7</v>
      </c>
      <c r="T451" s="2">
        <v>174</v>
      </c>
      <c r="U451" t="s">
        <v>3</v>
      </c>
      <c r="V451" t="s">
        <v>1322</v>
      </c>
      <c r="W451" s="5">
        <v>151.51</v>
      </c>
    </row>
    <row r="452" spans="1:23" ht="15" x14ac:dyDescent="0.2">
      <c r="A452" t="s">
        <v>1009</v>
      </c>
      <c r="B452" s="1">
        <f>45915</f>
        <v>45915</v>
      </c>
      <c r="C452" t="s">
        <v>0</v>
      </c>
      <c r="D452">
        <v>108108</v>
      </c>
      <c r="E452" s="2">
        <v>25004575</v>
      </c>
      <c r="F452" s="2">
        <v>2</v>
      </c>
      <c r="G452" t="s">
        <v>1546</v>
      </c>
      <c r="H452" t="s">
        <v>1225</v>
      </c>
      <c r="I452" t="s">
        <v>1647</v>
      </c>
      <c r="J452" t="s">
        <v>1324</v>
      </c>
      <c r="K452" s="3">
        <v>1</v>
      </c>
      <c r="L452" s="4">
        <v>6</v>
      </c>
      <c r="O452" t="s">
        <v>2</v>
      </c>
      <c r="P452" t="s">
        <v>675</v>
      </c>
      <c r="Q452" s="2">
        <v>0</v>
      </c>
      <c r="R452" s="5">
        <v>6</v>
      </c>
      <c r="S452" s="5">
        <v>0</v>
      </c>
      <c r="T452" s="2">
        <v>6</v>
      </c>
      <c r="U452" t="s">
        <v>3</v>
      </c>
      <c r="V452" t="s">
        <v>1322</v>
      </c>
      <c r="W452" s="5">
        <v>151.51</v>
      </c>
    </row>
    <row r="453" spans="1:23" ht="15" x14ac:dyDescent="0.2">
      <c r="A453" t="s">
        <v>1009</v>
      </c>
      <c r="B453" s="1">
        <f>45915</f>
        <v>45915</v>
      </c>
      <c r="C453" t="s">
        <v>0</v>
      </c>
      <c r="D453">
        <v>108108</v>
      </c>
      <c r="E453" s="2">
        <v>25004576</v>
      </c>
      <c r="F453" s="2">
        <v>1</v>
      </c>
      <c r="G453" t="s">
        <v>1454</v>
      </c>
      <c r="H453" t="s">
        <v>1136</v>
      </c>
      <c r="I453" t="s">
        <v>1844</v>
      </c>
      <c r="J453" t="s">
        <v>1324</v>
      </c>
      <c r="K453" s="3">
        <v>1</v>
      </c>
      <c r="L453" s="4">
        <v>17.899999999999999</v>
      </c>
      <c r="O453" t="s">
        <v>2</v>
      </c>
      <c r="P453" t="s">
        <v>676</v>
      </c>
      <c r="Q453" s="2">
        <v>0</v>
      </c>
      <c r="R453" s="5">
        <v>17.899999999999999</v>
      </c>
      <c r="S453" s="5">
        <v>0</v>
      </c>
      <c r="T453" s="2">
        <v>18</v>
      </c>
      <c r="U453" t="s">
        <v>3</v>
      </c>
      <c r="V453" t="s">
        <v>194</v>
      </c>
      <c r="W453" s="5">
        <v>35.119999999999997</v>
      </c>
    </row>
    <row r="454" spans="1:23" ht="15" x14ac:dyDescent="0.2">
      <c r="A454" t="s">
        <v>1009</v>
      </c>
      <c r="B454" s="1">
        <f>45915</f>
        <v>45915</v>
      </c>
      <c r="C454" t="s">
        <v>0</v>
      </c>
      <c r="D454">
        <v>108108</v>
      </c>
      <c r="E454" s="2">
        <v>25004576</v>
      </c>
      <c r="F454" s="2">
        <v>2</v>
      </c>
      <c r="G454" t="s">
        <v>1548</v>
      </c>
      <c r="H454" t="s">
        <v>1227</v>
      </c>
      <c r="I454" t="s">
        <v>1844</v>
      </c>
      <c r="J454" t="s">
        <v>1324</v>
      </c>
      <c r="K454" s="3">
        <v>1</v>
      </c>
      <c r="L454" s="4">
        <v>23.9</v>
      </c>
      <c r="O454" t="s">
        <v>2</v>
      </c>
      <c r="P454" t="s">
        <v>676</v>
      </c>
      <c r="Q454" s="2">
        <v>0</v>
      </c>
      <c r="R454" s="5">
        <v>23.9</v>
      </c>
      <c r="S454" s="5">
        <v>0</v>
      </c>
      <c r="T454" s="2">
        <v>24</v>
      </c>
      <c r="U454" t="s">
        <v>3</v>
      </c>
      <c r="V454" t="s">
        <v>194</v>
      </c>
      <c r="W454" s="5">
        <v>35.119999999999997</v>
      </c>
    </row>
    <row r="455" spans="1:23" ht="15" x14ac:dyDescent="0.2">
      <c r="A455" t="s">
        <v>1009</v>
      </c>
      <c r="B455" s="1">
        <f>45915</f>
        <v>45915</v>
      </c>
      <c r="C455" t="s">
        <v>0</v>
      </c>
      <c r="D455">
        <v>108108</v>
      </c>
      <c r="E455" s="2">
        <v>25004577</v>
      </c>
      <c r="F455" s="2">
        <v>1</v>
      </c>
      <c r="G455" t="s">
        <v>1542</v>
      </c>
      <c r="H455" t="s">
        <v>1221</v>
      </c>
      <c r="I455" t="s">
        <v>1647</v>
      </c>
      <c r="J455" t="s">
        <v>1324</v>
      </c>
      <c r="K455" s="3">
        <v>1</v>
      </c>
      <c r="L455" s="4">
        <v>26.9</v>
      </c>
      <c r="O455" t="s">
        <v>2</v>
      </c>
      <c r="P455" t="s">
        <v>677</v>
      </c>
      <c r="Q455" s="2">
        <v>0</v>
      </c>
      <c r="R455" s="5">
        <v>26.9</v>
      </c>
      <c r="S455" s="5">
        <v>0</v>
      </c>
      <c r="T455" s="2">
        <v>27</v>
      </c>
      <c r="U455" t="s">
        <v>3</v>
      </c>
      <c r="V455" t="s">
        <v>1322</v>
      </c>
      <c r="W455" s="5">
        <v>65.3</v>
      </c>
    </row>
    <row r="456" spans="1:23" ht="15" x14ac:dyDescent="0.2">
      <c r="A456" t="s">
        <v>1009</v>
      </c>
      <c r="B456" s="1">
        <f>45915</f>
        <v>45915</v>
      </c>
      <c r="C456" t="s">
        <v>0</v>
      </c>
      <c r="D456">
        <v>108108</v>
      </c>
      <c r="E456" s="2">
        <v>25004577</v>
      </c>
      <c r="F456" s="2">
        <v>2</v>
      </c>
      <c r="G456" t="s">
        <v>1414</v>
      </c>
      <c r="H456" t="s">
        <v>1096</v>
      </c>
      <c r="I456" t="s">
        <v>1647</v>
      </c>
      <c r="J456" t="s">
        <v>1324</v>
      </c>
      <c r="K456" s="3">
        <v>2</v>
      </c>
      <c r="L456" s="4">
        <v>45.8</v>
      </c>
      <c r="O456" t="s">
        <v>2</v>
      </c>
      <c r="P456" t="s">
        <v>677</v>
      </c>
      <c r="Q456" s="2">
        <v>0</v>
      </c>
      <c r="R456" s="5">
        <v>22.9</v>
      </c>
      <c r="S456" s="5">
        <v>0</v>
      </c>
      <c r="T456" s="2">
        <v>23</v>
      </c>
      <c r="U456" t="s">
        <v>3</v>
      </c>
      <c r="V456" t="s">
        <v>1322</v>
      </c>
      <c r="W456" s="5">
        <v>65.3</v>
      </c>
    </row>
    <row r="457" spans="1:23" ht="15" x14ac:dyDescent="0.2">
      <c r="A457" t="s">
        <v>1009</v>
      </c>
      <c r="B457" s="1">
        <f>45915</f>
        <v>45915</v>
      </c>
      <c r="C457" t="s">
        <v>0</v>
      </c>
      <c r="D457">
        <v>108108</v>
      </c>
      <c r="E457" s="2">
        <v>25004577</v>
      </c>
      <c r="F457" s="2">
        <v>3</v>
      </c>
      <c r="G457" t="s">
        <v>1332</v>
      </c>
      <c r="H457" t="s">
        <v>362</v>
      </c>
      <c r="I457" t="s">
        <v>1647</v>
      </c>
      <c r="J457" t="s">
        <v>1324</v>
      </c>
      <c r="K457" s="3">
        <v>1</v>
      </c>
      <c r="L457" s="4">
        <v>5</v>
      </c>
      <c r="O457" t="s">
        <v>2</v>
      </c>
      <c r="P457" t="s">
        <v>677</v>
      </c>
      <c r="Q457" s="2">
        <v>0</v>
      </c>
      <c r="R457" s="5">
        <v>5</v>
      </c>
      <c r="S457" s="5">
        <v>0</v>
      </c>
      <c r="T457" s="2">
        <v>5</v>
      </c>
      <c r="U457" t="s">
        <v>3</v>
      </c>
      <c r="V457" t="s">
        <v>1322</v>
      </c>
      <c r="W457" s="5">
        <v>65.3</v>
      </c>
    </row>
    <row r="458" spans="1:23" ht="15" x14ac:dyDescent="0.2">
      <c r="A458" t="s">
        <v>1009</v>
      </c>
      <c r="B458" s="1">
        <f>45915</f>
        <v>45915</v>
      </c>
      <c r="C458" t="s">
        <v>0</v>
      </c>
      <c r="D458">
        <v>108108</v>
      </c>
      <c r="E458" s="2">
        <v>25004578</v>
      </c>
      <c r="F458" s="2">
        <v>1</v>
      </c>
      <c r="G458" t="s">
        <v>1646</v>
      </c>
      <c r="H458" t="s">
        <v>361</v>
      </c>
      <c r="I458" t="s">
        <v>1647</v>
      </c>
      <c r="J458" t="s">
        <v>1324</v>
      </c>
      <c r="K458" s="3">
        <v>1</v>
      </c>
      <c r="L458" s="4">
        <v>-450</v>
      </c>
      <c r="Q458" s="2">
        <v>0</v>
      </c>
      <c r="R458" s="5">
        <v>-450</v>
      </c>
      <c r="S458" s="5">
        <v>0</v>
      </c>
      <c r="T458" s="2">
        <v>-450</v>
      </c>
      <c r="U458" t="s">
        <v>1</v>
      </c>
      <c r="V458" t="s">
        <v>361</v>
      </c>
      <c r="W458" s="5">
        <v>-450</v>
      </c>
    </row>
    <row r="459" spans="1:23" ht="15" x14ac:dyDescent="0.2">
      <c r="A459" t="s">
        <v>1009</v>
      </c>
      <c r="B459" s="1">
        <f>45916</f>
        <v>45916</v>
      </c>
      <c r="C459" t="s">
        <v>0</v>
      </c>
      <c r="D459">
        <v>108108</v>
      </c>
      <c r="E459" s="2">
        <v>25004579</v>
      </c>
      <c r="F459" s="2">
        <v>1</v>
      </c>
      <c r="G459" t="s">
        <v>1646</v>
      </c>
      <c r="H459" t="s">
        <v>361</v>
      </c>
      <c r="I459" t="s">
        <v>1647</v>
      </c>
      <c r="J459" t="s">
        <v>1326</v>
      </c>
      <c r="K459" s="3">
        <v>1</v>
      </c>
      <c r="L459" s="4">
        <v>450</v>
      </c>
      <c r="Q459" s="2">
        <v>0</v>
      </c>
      <c r="R459" s="5">
        <v>450</v>
      </c>
      <c r="S459" s="5">
        <v>0</v>
      </c>
      <c r="T459" s="2">
        <v>450</v>
      </c>
      <c r="U459" t="s">
        <v>1</v>
      </c>
      <c r="V459" t="s">
        <v>361</v>
      </c>
      <c r="W459" s="5">
        <v>450</v>
      </c>
    </row>
    <row r="460" spans="1:23" ht="15" x14ac:dyDescent="0.2">
      <c r="A460" t="s">
        <v>1009</v>
      </c>
      <c r="B460" s="1">
        <f>45916</f>
        <v>45916</v>
      </c>
      <c r="C460" t="s">
        <v>0</v>
      </c>
      <c r="D460">
        <v>108108</v>
      </c>
      <c r="E460" s="2">
        <v>25004580</v>
      </c>
      <c r="F460" s="2">
        <v>1</v>
      </c>
      <c r="G460" t="s">
        <v>1352</v>
      </c>
      <c r="H460" t="s">
        <v>1034</v>
      </c>
      <c r="I460" t="s">
        <v>1647</v>
      </c>
      <c r="J460" t="s">
        <v>1326</v>
      </c>
      <c r="K460" s="3">
        <v>1</v>
      </c>
      <c r="L460" s="4">
        <v>9.9</v>
      </c>
      <c r="O460" t="s">
        <v>2</v>
      </c>
      <c r="P460" t="s">
        <v>678</v>
      </c>
      <c r="Q460" s="2">
        <v>0</v>
      </c>
      <c r="R460" s="5">
        <v>9.9</v>
      </c>
      <c r="S460" s="5">
        <v>0</v>
      </c>
      <c r="T460" s="2">
        <v>10</v>
      </c>
      <c r="U460" t="s">
        <v>3</v>
      </c>
      <c r="V460" t="s">
        <v>1322</v>
      </c>
      <c r="W460" s="5">
        <v>8.32</v>
      </c>
    </row>
    <row r="461" spans="1:23" ht="15" x14ac:dyDescent="0.2">
      <c r="A461" t="s">
        <v>1009</v>
      </c>
      <c r="B461" s="1">
        <f>45916</f>
        <v>45916</v>
      </c>
      <c r="C461" t="s">
        <v>0</v>
      </c>
      <c r="D461">
        <v>108108</v>
      </c>
      <c r="E461" s="2">
        <v>25004581</v>
      </c>
      <c r="F461" s="2">
        <v>1</v>
      </c>
      <c r="G461" t="s">
        <v>1549</v>
      </c>
      <c r="H461" t="s">
        <v>1228</v>
      </c>
      <c r="I461" t="s">
        <v>1845</v>
      </c>
      <c r="J461" t="s">
        <v>1326</v>
      </c>
      <c r="K461" s="3">
        <v>1</v>
      </c>
      <c r="L461" s="4">
        <v>22.9</v>
      </c>
      <c r="O461" t="s">
        <v>2</v>
      </c>
      <c r="P461" t="s">
        <v>679</v>
      </c>
      <c r="Q461" s="2">
        <v>0</v>
      </c>
      <c r="R461" s="5">
        <v>22.9</v>
      </c>
      <c r="S461" s="5">
        <v>0</v>
      </c>
      <c r="T461" s="2">
        <v>23</v>
      </c>
      <c r="U461" t="s">
        <v>3</v>
      </c>
      <c r="V461" t="s">
        <v>195</v>
      </c>
      <c r="W461" s="5">
        <v>19.239999999999998</v>
      </c>
    </row>
    <row r="462" spans="1:23" ht="15" x14ac:dyDescent="0.2">
      <c r="A462" t="s">
        <v>1009</v>
      </c>
      <c r="B462" s="1">
        <f>45916</f>
        <v>45916</v>
      </c>
      <c r="C462" t="s">
        <v>0</v>
      </c>
      <c r="D462">
        <v>108108</v>
      </c>
      <c r="E462" s="2">
        <v>25004582</v>
      </c>
      <c r="F462" s="2">
        <v>1</v>
      </c>
      <c r="G462" t="s">
        <v>1456</v>
      </c>
      <c r="H462" t="s">
        <v>1138</v>
      </c>
      <c r="I462" t="s">
        <v>1846</v>
      </c>
      <c r="J462" t="s">
        <v>1326</v>
      </c>
      <c r="K462" s="3">
        <v>1</v>
      </c>
      <c r="L462" s="4">
        <v>22.4</v>
      </c>
      <c r="O462" t="s">
        <v>2</v>
      </c>
      <c r="P462" t="s">
        <v>680</v>
      </c>
      <c r="Q462" s="2">
        <v>10</v>
      </c>
      <c r="R462" s="5">
        <v>24.9</v>
      </c>
      <c r="S462" s="5">
        <v>2.5</v>
      </c>
      <c r="T462" s="2">
        <v>22</v>
      </c>
      <c r="U462" t="s">
        <v>3</v>
      </c>
      <c r="V462" t="s">
        <v>196</v>
      </c>
      <c r="W462" s="5">
        <v>36.130000000000003</v>
      </c>
    </row>
    <row r="463" spans="1:23" ht="15" x14ac:dyDescent="0.2">
      <c r="A463" t="s">
        <v>1009</v>
      </c>
      <c r="B463" s="1">
        <f>45916</f>
        <v>45916</v>
      </c>
      <c r="C463" t="s">
        <v>0</v>
      </c>
      <c r="D463">
        <v>108108</v>
      </c>
      <c r="E463" s="2">
        <v>25004582</v>
      </c>
      <c r="F463" s="2">
        <v>2</v>
      </c>
      <c r="G463" t="s">
        <v>1550</v>
      </c>
      <c r="H463" t="s">
        <v>1229</v>
      </c>
      <c r="I463" t="s">
        <v>1846</v>
      </c>
      <c r="J463" t="s">
        <v>1326</v>
      </c>
      <c r="K463" s="3">
        <v>1</v>
      </c>
      <c r="L463" s="4">
        <v>20.6</v>
      </c>
      <c r="O463" t="s">
        <v>2</v>
      </c>
      <c r="P463" t="s">
        <v>680</v>
      </c>
      <c r="Q463" s="2">
        <v>10</v>
      </c>
      <c r="R463" s="5">
        <v>22.9</v>
      </c>
      <c r="S463" s="5">
        <v>2.2999999999999998</v>
      </c>
      <c r="T463" s="2">
        <v>21</v>
      </c>
      <c r="U463" t="s">
        <v>3</v>
      </c>
      <c r="V463" t="s">
        <v>196</v>
      </c>
      <c r="W463" s="5">
        <v>36.130000000000003</v>
      </c>
    </row>
    <row r="464" spans="1:23" ht="15" x14ac:dyDescent="0.2">
      <c r="A464" t="s">
        <v>1009</v>
      </c>
      <c r="B464" s="1">
        <f>45916</f>
        <v>45916</v>
      </c>
      <c r="C464" t="s">
        <v>0</v>
      </c>
      <c r="D464">
        <v>108108</v>
      </c>
      <c r="E464" s="2">
        <v>25004583</v>
      </c>
      <c r="F464" s="2">
        <v>1</v>
      </c>
      <c r="G464" t="s">
        <v>1551</v>
      </c>
      <c r="H464" t="s">
        <v>1230</v>
      </c>
      <c r="I464" t="s">
        <v>1847</v>
      </c>
      <c r="J464" t="s">
        <v>1326</v>
      </c>
      <c r="K464" s="3">
        <v>1</v>
      </c>
      <c r="L464" s="4">
        <v>32</v>
      </c>
      <c r="O464" t="s">
        <v>2</v>
      </c>
      <c r="P464" t="s">
        <v>681</v>
      </c>
      <c r="Q464" s="2">
        <v>0</v>
      </c>
      <c r="R464" s="5">
        <v>32</v>
      </c>
      <c r="S464" s="5">
        <v>0</v>
      </c>
      <c r="T464" s="2">
        <v>32</v>
      </c>
      <c r="U464" t="s">
        <v>3</v>
      </c>
      <c r="V464" t="s">
        <v>197</v>
      </c>
      <c r="W464" s="5">
        <v>26.89</v>
      </c>
    </row>
    <row r="465" spans="1:23" ht="15" x14ac:dyDescent="0.2">
      <c r="A465" t="s">
        <v>1009</v>
      </c>
      <c r="B465" s="1">
        <f>45916</f>
        <v>45916</v>
      </c>
      <c r="C465" t="s">
        <v>0</v>
      </c>
      <c r="D465">
        <v>108108</v>
      </c>
      <c r="E465" s="2">
        <v>25004584</v>
      </c>
      <c r="F465" s="2">
        <v>1</v>
      </c>
      <c r="G465" t="s">
        <v>1369</v>
      </c>
      <c r="H465" t="s">
        <v>1051</v>
      </c>
      <c r="I465" t="s">
        <v>1647</v>
      </c>
      <c r="J465" t="s">
        <v>1323</v>
      </c>
      <c r="K465" s="3">
        <v>1</v>
      </c>
      <c r="L465" s="4">
        <v>9.9</v>
      </c>
      <c r="O465" t="s">
        <v>2</v>
      </c>
      <c r="P465" t="s">
        <v>682</v>
      </c>
      <c r="Q465" s="2">
        <v>0</v>
      </c>
      <c r="R465" s="5">
        <v>9.9</v>
      </c>
      <c r="S465" s="5">
        <v>0</v>
      </c>
      <c r="T465" s="2">
        <v>10</v>
      </c>
      <c r="U465" t="s">
        <v>3</v>
      </c>
      <c r="V465" t="s">
        <v>1322</v>
      </c>
      <c r="W465" s="5">
        <v>8.32</v>
      </c>
    </row>
    <row r="466" spans="1:23" ht="15" x14ac:dyDescent="0.2">
      <c r="A466" t="s">
        <v>1009</v>
      </c>
      <c r="B466" s="1">
        <f>45916</f>
        <v>45916</v>
      </c>
      <c r="C466" t="s">
        <v>0</v>
      </c>
      <c r="D466">
        <v>108108</v>
      </c>
      <c r="E466" s="2">
        <v>25004585</v>
      </c>
      <c r="F466" s="2">
        <v>1</v>
      </c>
      <c r="G466" t="s">
        <v>1331</v>
      </c>
      <c r="H466" t="s">
        <v>1014</v>
      </c>
      <c r="I466" t="s">
        <v>1836</v>
      </c>
      <c r="J466" t="s">
        <v>1323</v>
      </c>
      <c r="K466" s="3">
        <v>1</v>
      </c>
      <c r="L466" s="4">
        <v>21.9</v>
      </c>
      <c r="O466" t="s">
        <v>2</v>
      </c>
      <c r="P466" t="s">
        <v>683</v>
      </c>
      <c r="Q466" s="2">
        <v>0</v>
      </c>
      <c r="R466" s="5">
        <v>21.9</v>
      </c>
      <c r="S466" s="5">
        <v>0</v>
      </c>
      <c r="T466" s="2">
        <v>22</v>
      </c>
      <c r="U466" t="s">
        <v>3</v>
      </c>
      <c r="V466" t="s">
        <v>186</v>
      </c>
      <c r="W466" s="5">
        <v>18.399999999999999</v>
      </c>
    </row>
    <row r="467" spans="1:23" ht="15" x14ac:dyDescent="0.2">
      <c r="A467" t="s">
        <v>1009</v>
      </c>
      <c r="B467" s="1">
        <f>45916</f>
        <v>45916</v>
      </c>
      <c r="C467" t="s">
        <v>0</v>
      </c>
      <c r="D467">
        <v>108108</v>
      </c>
      <c r="E467" s="2">
        <v>25004586</v>
      </c>
      <c r="F467" s="2">
        <v>1</v>
      </c>
      <c r="G467" t="s">
        <v>1547</v>
      </c>
      <c r="H467" t="s">
        <v>1226</v>
      </c>
      <c r="I467" t="s">
        <v>1848</v>
      </c>
      <c r="J467" t="s">
        <v>1323</v>
      </c>
      <c r="K467" s="3">
        <v>1</v>
      </c>
      <c r="L467" s="4">
        <v>31</v>
      </c>
      <c r="O467" t="s">
        <v>2</v>
      </c>
      <c r="P467" t="s">
        <v>684</v>
      </c>
      <c r="Q467" s="2">
        <v>0</v>
      </c>
      <c r="R467" s="5">
        <v>31</v>
      </c>
      <c r="S467" s="5">
        <v>0</v>
      </c>
      <c r="T467" s="2">
        <v>31</v>
      </c>
      <c r="U467" t="s">
        <v>3</v>
      </c>
      <c r="V467" t="s">
        <v>198</v>
      </c>
      <c r="W467" s="5">
        <v>26.05</v>
      </c>
    </row>
    <row r="468" spans="1:23" ht="15" x14ac:dyDescent="0.2">
      <c r="A468" t="s">
        <v>1009</v>
      </c>
      <c r="B468" s="1">
        <f>45916</f>
        <v>45916</v>
      </c>
      <c r="C468" t="s">
        <v>0</v>
      </c>
      <c r="D468">
        <v>108108</v>
      </c>
      <c r="E468" s="2">
        <v>25004587</v>
      </c>
      <c r="F468" s="2">
        <v>1</v>
      </c>
      <c r="G468" t="s">
        <v>1412</v>
      </c>
      <c r="H468" t="s">
        <v>1094</v>
      </c>
      <c r="I468" t="s">
        <v>1849</v>
      </c>
      <c r="J468" t="s">
        <v>1323</v>
      </c>
      <c r="K468" s="3">
        <v>1</v>
      </c>
      <c r="L468" s="4">
        <v>26.9</v>
      </c>
      <c r="O468" t="s">
        <v>2</v>
      </c>
      <c r="P468" t="s">
        <v>685</v>
      </c>
      <c r="Q468" s="2">
        <v>0</v>
      </c>
      <c r="R468" s="5">
        <v>26.9</v>
      </c>
      <c r="S468" s="5">
        <v>0</v>
      </c>
      <c r="T468" s="2">
        <v>27</v>
      </c>
      <c r="U468" t="s">
        <v>3</v>
      </c>
      <c r="V468" t="s">
        <v>199</v>
      </c>
      <c r="W468" s="5">
        <v>26.81</v>
      </c>
    </row>
    <row r="469" spans="1:23" ht="15" x14ac:dyDescent="0.2">
      <c r="A469" t="s">
        <v>1009</v>
      </c>
      <c r="B469" s="1">
        <f>45916</f>
        <v>45916</v>
      </c>
      <c r="C469" t="s">
        <v>0</v>
      </c>
      <c r="D469">
        <v>108108</v>
      </c>
      <c r="E469" s="2">
        <v>25004587</v>
      </c>
      <c r="F469" s="2">
        <v>2</v>
      </c>
      <c r="G469" t="s">
        <v>1332</v>
      </c>
      <c r="H469" t="s">
        <v>362</v>
      </c>
      <c r="I469" t="s">
        <v>1849</v>
      </c>
      <c r="J469" t="s">
        <v>1323</v>
      </c>
      <c r="K469" s="3">
        <v>1</v>
      </c>
      <c r="L469" s="4">
        <v>5</v>
      </c>
      <c r="O469" t="s">
        <v>2</v>
      </c>
      <c r="P469" t="s">
        <v>685</v>
      </c>
      <c r="Q469" s="2">
        <v>0</v>
      </c>
      <c r="R469" s="5">
        <v>5</v>
      </c>
      <c r="S469" s="5">
        <v>0</v>
      </c>
      <c r="T469" s="2">
        <v>5</v>
      </c>
      <c r="U469" t="s">
        <v>3</v>
      </c>
      <c r="V469" t="s">
        <v>199</v>
      </c>
      <c r="W469" s="5">
        <v>26.81</v>
      </c>
    </row>
    <row r="470" spans="1:23" ht="15" x14ac:dyDescent="0.2">
      <c r="A470" t="s">
        <v>1009</v>
      </c>
      <c r="B470" s="1">
        <f>45916</f>
        <v>45916</v>
      </c>
      <c r="C470" t="s">
        <v>0</v>
      </c>
      <c r="D470">
        <v>108108</v>
      </c>
      <c r="E470" s="2">
        <v>25004588</v>
      </c>
      <c r="F470" s="2">
        <v>1</v>
      </c>
      <c r="G470" t="s">
        <v>1549</v>
      </c>
      <c r="H470" t="s">
        <v>1228</v>
      </c>
      <c r="I470" t="s">
        <v>1820</v>
      </c>
      <c r="J470" t="s">
        <v>1323</v>
      </c>
      <c r="K470" s="3">
        <v>1</v>
      </c>
      <c r="L470" s="4">
        <v>22.9</v>
      </c>
      <c r="O470" t="s">
        <v>2</v>
      </c>
      <c r="P470" t="s">
        <v>686</v>
      </c>
      <c r="Q470" s="2">
        <v>0</v>
      </c>
      <c r="R470" s="5">
        <v>22.9</v>
      </c>
      <c r="S470" s="5">
        <v>0</v>
      </c>
      <c r="T470" s="2">
        <v>23</v>
      </c>
      <c r="U470" t="s">
        <v>3</v>
      </c>
      <c r="V470" t="s">
        <v>172</v>
      </c>
      <c r="W470" s="5">
        <v>19.239999999999998</v>
      </c>
    </row>
    <row r="471" spans="1:23" ht="15" x14ac:dyDescent="0.2">
      <c r="A471" t="s">
        <v>1009</v>
      </c>
      <c r="B471" s="1">
        <f>45916</f>
        <v>45916</v>
      </c>
      <c r="C471" t="s">
        <v>0</v>
      </c>
      <c r="D471">
        <v>108108</v>
      </c>
      <c r="E471" s="2">
        <v>25004589</v>
      </c>
      <c r="F471" s="2">
        <v>1</v>
      </c>
      <c r="G471" t="s">
        <v>1547</v>
      </c>
      <c r="H471" t="s">
        <v>1226</v>
      </c>
      <c r="I471" t="s">
        <v>1850</v>
      </c>
      <c r="J471" t="s">
        <v>1323</v>
      </c>
      <c r="K471" s="3">
        <v>1</v>
      </c>
      <c r="L471" s="4">
        <v>31</v>
      </c>
      <c r="O471" t="s">
        <v>2</v>
      </c>
      <c r="P471" t="s">
        <v>687</v>
      </c>
      <c r="Q471" s="2">
        <v>0</v>
      </c>
      <c r="R471" s="5">
        <v>31</v>
      </c>
      <c r="S471" s="5">
        <v>0</v>
      </c>
      <c r="T471" s="2">
        <v>31</v>
      </c>
      <c r="U471" t="s">
        <v>3</v>
      </c>
      <c r="V471" t="s">
        <v>200</v>
      </c>
      <c r="W471" s="5">
        <v>26.05</v>
      </c>
    </row>
    <row r="472" spans="1:23" ht="15" x14ac:dyDescent="0.2">
      <c r="A472" t="s">
        <v>1009</v>
      </c>
      <c r="B472" s="1">
        <f>45916</f>
        <v>45916</v>
      </c>
      <c r="C472" t="s">
        <v>0</v>
      </c>
      <c r="D472">
        <v>108108</v>
      </c>
      <c r="E472" s="2">
        <v>25004590</v>
      </c>
      <c r="F472" s="2">
        <v>1</v>
      </c>
      <c r="G472" t="s">
        <v>1361</v>
      </c>
      <c r="H472" t="s">
        <v>1043</v>
      </c>
      <c r="I472" t="s">
        <v>1818</v>
      </c>
      <c r="J472" t="s">
        <v>1323</v>
      </c>
      <c r="K472" s="3">
        <v>1</v>
      </c>
      <c r="L472" s="4">
        <v>22.9</v>
      </c>
      <c r="O472" t="s">
        <v>2</v>
      </c>
      <c r="P472" t="s">
        <v>688</v>
      </c>
      <c r="Q472" s="2">
        <v>0</v>
      </c>
      <c r="R472" s="5">
        <v>22.9</v>
      </c>
      <c r="S472" s="5">
        <v>0</v>
      </c>
      <c r="T472" s="2">
        <v>23</v>
      </c>
      <c r="U472" t="s">
        <v>3</v>
      </c>
      <c r="V472" t="s">
        <v>170</v>
      </c>
      <c r="W472" s="5">
        <v>19.239999999999998</v>
      </c>
    </row>
    <row r="473" spans="1:23" ht="15" x14ac:dyDescent="0.2">
      <c r="A473" t="s">
        <v>1009</v>
      </c>
      <c r="B473" s="1">
        <f>45916</f>
        <v>45916</v>
      </c>
      <c r="C473" t="s">
        <v>0</v>
      </c>
      <c r="D473">
        <v>108108</v>
      </c>
      <c r="E473" s="2">
        <v>25004591</v>
      </c>
      <c r="F473" s="2">
        <v>1</v>
      </c>
      <c r="G473" t="s">
        <v>1465</v>
      </c>
      <c r="H473" t="s">
        <v>1146</v>
      </c>
      <c r="I473" t="s">
        <v>1851</v>
      </c>
      <c r="J473" t="s">
        <v>1323</v>
      </c>
      <c r="K473" s="3">
        <v>1</v>
      </c>
      <c r="L473" s="4">
        <v>18.899999999999999</v>
      </c>
      <c r="O473" t="s">
        <v>2</v>
      </c>
      <c r="P473" t="s">
        <v>689</v>
      </c>
      <c r="Q473" s="2">
        <v>0</v>
      </c>
      <c r="R473" s="5">
        <v>18.899999999999999</v>
      </c>
      <c r="S473" s="5">
        <v>0</v>
      </c>
      <c r="T473" s="2">
        <v>19</v>
      </c>
      <c r="U473" t="s">
        <v>3</v>
      </c>
      <c r="V473" t="s">
        <v>201</v>
      </c>
      <c r="W473" s="5">
        <v>15.88</v>
      </c>
    </row>
    <row r="474" spans="1:23" ht="15" x14ac:dyDescent="0.2">
      <c r="A474" t="s">
        <v>1009</v>
      </c>
      <c r="B474" s="1">
        <f>45916</f>
        <v>45916</v>
      </c>
      <c r="C474" t="s">
        <v>0</v>
      </c>
      <c r="D474">
        <v>108108</v>
      </c>
      <c r="E474" s="2">
        <v>25004592</v>
      </c>
      <c r="F474" s="2">
        <v>1</v>
      </c>
      <c r="G474" t="s">
        <v>1552</v>
      </c>
      <c r="H474" t="s">
        <v>1231</v>
      </c>
      <c r="I474" t="s">
        <v>1852</v>
      </c>
      <c r="J474" t="s">
        <v>1326</v>
      </c>
      <c r="K474" s="3">
        <v>1</v>
      </c>
      <c r="L474" s="4">
        <v>60</v>
      </c>
      <c r="O474" t="s">
        <v>2</v>
      </c>
      <c r="P474" t="s">
        <v>690</v>
      </c>
      <c r="Q474" s="2">
        <v>0</v>
      </c>
      <c r="R474" s="5">
        <v>60</v>
      </c>
      <c r="S474" s="5">
        <v>0</v>
      </c>
      <c r="T474" s="2">
        <v>60</v>
      </c>
      <c r="U474" t="s">
        <v>3</v>
      </c>
      <c r="V474" t="s">
        <v>202</v>
      </c>
      <c r="W474" s="5">
        <v>50.42</v>
      </c>
    </row>
    <row r="475" spans="1:23" ht="15" x14ac:dyDescent="0.2">
      <c r="A475" t="s">
        <v>1009</v>
      </c>
      <c r="B475" s="1">
        <f>45916</f>
        <v>45916</v>
      </c>
      <c r="C475" t="s">
        <v>0</v>
      </c>
      <c r="D475">
        <v>108108</v>
      </c>
      <c r="E475" s="2">
        <v>25004593</v>
      </c>
      <c r="F475" s="2">
        <v>1</v>
      </c>
      <c r="G475" t="s">
        <v>1484</v>
      </c>
      <c r="H475" t="s">
        <v>1165</v>
      </c>
      <c r="I475" t="s">
        <v>1853</v>
      </c>
      <c r="J475" t="s">
        <v>1326</v>
      </c>
      <c r="K475" s="3">
        <v>1</v>
      </c>
      <c r="L475" s="4">
        <v>30</v>
      </c>
      <c r="O475" t="s">
        <v>2</v>
      </c>
      <c r="P475" t="s">
        <v>691</v>
      </c>
      <c r="Q475" s="2">
        <v>0</v>
      </c>
      <c r="R475" s="5">
        <v>30</v>
      </c>
      <c r="S475" s="5">
        <v>0</v>
      </c>
      <c r="T475" s="2">
        <v>30</v>
      </c>
      <c r="U475" t="s">
        <v>3</v>
      </c>
      <c r="V475" t="s">
        <v>203</v>
      </c>
      <c r="W475" s="5">
        <v>46.97</v>
      </c>
    </row>
    <row r="476" spans="1:23" ht="15" x14ac:dyDescent="0.2">
      <c r="A476" t="s">
        <v>1009</v>
      </c>
      <c r="B476" s="1">
        <f>45916</f>
        <v>45916</v>
      </c>
      <c r="C476" t="s">
        <v>0</v>
      </c>
      <c r="D476">
        <v>108108</v>
      </c>
      <c r="E476" s="2">
        <v>25004593</v>
      </c>
      <c r="F476" s="2">
        <v>2</v>
      </c>
      <c r="G476" t="s">
        <v>1465</v>
      </c>
      <c r="H476" t="s">
        <v>1146</v>
      </c>
      <c r="I476" t="s">
        <v>1853</v>
      </c>
      <c r="J476" t="s">
        <v>1326</v>
      </c>
      <c r="K476" s="3">
        <v>1</v>
      </c>
      <c r="L476" s="4">
        <v>18.899999999999999</v>
      </c>
      <c r="O476" t="s">
        <v>2</v>
      </c>
      <c r="P476" t="s">
        <v>691</v>
      </c>
      <c r="Q476" s="2">
        <v>0</v>
      </c>
      <c r="R476" s="5">
        <v>18.899999999999999</v>
      </c>
      <c r="S476" s="5">
        <v>0</v>
      </c>
      <c r="T476" s="2">
        <v>19</v>
      </c>
      <c r="U476" t="s">
        <v>3</v>
      </c>
      <c r="V476" t="s">
        <v>203</v>
      </c>
      <c r="W476" s="5">
        <v>46.97</v>
      </c>
    </row>
    <row r="477" spans="1:23" ht="15" x14ac:dyDescent="0.2">
      <c r="A477" t="s">
        <v>1009</v>
      </c>
      <c r="B477" s="1">
        <f>45916</f>
        <v>45916</v>
      </c>
      <c r="C477" t="s">
        <v>0</v>
      </c>
      <c r="D477">
        <v>108108</v>
      </c>
      <c r="E477" s="2">
        <v>25004593</v>
      </c>
      <c r="F477" s="2">
        <v>3</v>
      </c>
      <c r="G477" t="s">
        <v>1467</v>
      </c>
      <c r="H477" t="s">
        <v>1148</v>
      </c>
      <c r="I477" t="s">
        <v>1853</v>
      </c>
      <c r="J477" t="s">
        <v>1326</v>
      </c>
      <c r="K477" s="3">
        <v>1</v>
      </c>
      <c r="L477" s="4">
        <v>7</v>
      </c>
      <c r="O477" t="s">
        <v>2</v>
      </c>
      <c r="P477" t="s">
        <v>691</v>
      </c>
      <c r="Q477" s="2">
        <v>0</v>
      </c>
      <c r="R477" s="5">
        <v>7</v>
      </c>
      <c r="S477" s="5">
        <v>0</v>
      </c>
      <c r="T477" s="2">
        <v>7</v>
      </c>
      <c r="U477" t="s">
        <v>3</v>
      </c>
      <c r="V477" t="s">
        <v>203</v>
      </c>
      <c r="W477" s="5">
        <v>46.97</v>
      </c>
    </row>
    <row r="478" spans="1:23" ht="15" x14ac:dyDescent="0.2">
      <c r="A478" t="s">
        <v>1009</v>
      </c>
      <c r="B478" s="1">
        <f>45916</f>
        <v>45916</v>
      </c>
      <c r="C478" t="s">
        <v>0</v>
      </c>
      <c r="D478">
        <v>108108</v>
      </c>
      <c r="E478" s="2">
        <v>25004594</v>
      </c>
      <c r="F478" s="2">
        <v>1</v>
      </c>
      <c r="G478" t="s">
        <v>1553</v>
      </c>
      <c r="H478" t="s">
        <v>1232</v>
      </c>
      <c r="I478" t="s">
        <v>1854</v>
      </c>
      <c r="J478" t="s">
        <v>1323</v>
      </c>
      <c r="K478" s="3">
        <v>1</v>
      </c>
      <c r="L478" s="4">
        <v>21.5</v>
      </c>
      <c r="O478" t="s">
        <v>2</v>
      </c>
      <c r="P478" t="s">
        <v>692</v>
      </c>
      <c r="Q478" s="2">
        <v>10</v>
      </c>
      <c r="R478" s="5">
        <v>23.9</v>
      </c>
      <c r="S478" s="5">
        <v>2.4</v>
      </c>
      <c r="T478" s="2">
        <v>22</v>
      </c>
      <c r="U478" t="s">
        <v>3</v>
      </c>
      <c r="V478" t="s">
        <v>204</v>
      </c>
      <c r="W478" s="5">
        <v>25.55</v>
      </c>
    </row>
    <row r="479" spans="1:23" ht="15" x14ac:dyDescent="0.2">
      <c r="A479" t="s">
        <v>1009</v>
      </c>
      <c r="B479" s="1">
        <f>45916</f>
        <v>45916</v>
      </c>
      <c r="C479" t="s">
        <v>0</v>
      </c>
      <c r="D479">
        <v>108108</v>
      </c>
      <c r="E479" s="2">
        <v>25004594</v>
      </c>
      <c r="F479" s="2">
        <v>2</v>
      </c>
      <c r="G479" t="s">
        <v>1356</v>
      </c>
      <c r="H479" t="s">
        <v>1038</v>
      </c>
      <c r="I479" t="s">
        <v>1854</v>
      </c>
      <c r="J479" t="s">
        <v>1323</v>
      </c>
      <c r="K479" s="3">
        <v>1</v>
      </c>
      <c r="L479" s="4">
        <v>8.9</v>
      </c>
      <c r="O479" t="s">
        <v>2</v>
      </c>
      <c r="P479" t="s">
        <v>692</v>
      </c>
      <c r="Q479" s="2">
        <v>10</v>
      </c>
      <c r="R479" s="5">
        <v>9.9</v>
      </c>
      <c r="S479" s="5">
        <v>1</v>
      </c>
      <c r="T479" s="2">
        <v>9</v>
      </c>
      <c r="U479" t="s">
        <v>3</v>
      </c>
      <c r="V479" t="s">
        <v>204</v>
      </c>
      <c r="W479" s="5">
        <v>25.55</v>
      </c>
    </row>
    <row r="480" spans="1:23" ht="15" x14ac:dyDescent="0.2">
      <c r="A480" t="s">
        <v>1009</v>
      </c>
      <c r="B480" s="1">
        <f>45916</f>
        <v>45916</v>
      </c>
      <c r="C480" t="s">
        <v>0</v>
      </c>
      <c r="D480">
        <v>108108</v>
      </c>
      <c r="E480" s="2">
        <v>25004595</v>
      </c>
      <c r="F480" s="2">
        <v>1</v>
      </c>
      <c r="G480" t="s">
        <v>1554</v>
      </c>
      <c r="H480" t="s">
        <v>1233</v>
      </c>
      <c r="I480" t="s">
        <v>1647</v>
      </c>
      <c r="J480" t="s">
        <v>1323</v>
      </c>
      <c r="K480" s="3">
        <v>1</v>
      </c>
      <c r="L480" s="4">
        <v>21.9</v>
      </c>
      <c r="O480" t="s">
        <v>2</v>
      </c>
      <c r="P480" t="s">
        <v>693</v>
      </c>
      <c r="Q480" s="2">
        <v>0</v>
      </c>
      <c r="R480" s="5">
        <v>21.9</v>
      </c>
      <c r="S480" s="5">
        <v>0</v>
      </c>
      <c r="T480" s="2">
        <v>22</v>
      </c>
      <c r="U480" t="s">
        <v>3</v>
      </c>
      <c r="V480" t="s">
        <v>1322</v>
      </c>
      <c r="W480" s="5">
        <v>18.399999999999999</v>
      </c>
    </row>
    <row r="481" spans="1:23" ht="15" x14ac:dyDescent="0.2">
      <c r="A481" t="s">
        <v>1009</v>
      </c>
      <c r="B481" s="1">
        <f>45916</f>
        <v>45916</v>
      </c>
      <c r="C481" t="s">
        <v>0</v>
      </c>
      <c r="D481">
        <v>108108</v>
      </c>
      <c r="E481" s="2">
        <v>25004596</v>
      </c>
      <c r="F481" s="2">
        <v>1</v>
      </c>
      <c r="G481" t="s">
        <v>1452</v>
      </c>
      <c r="H481" t="s">
        <v>1134</v>
      </c>
      <c r="I481" t="s">
        <v>1648</v>
      </c>
      <c r="J481" t="s">
        <v>1323</v>
      </c>
      <c r="K481" s="3">
        <v>1</v>
      </c>
      <c r="L481" s="4">
        <v>24.9</v>
      </c>
      <c r="O481" t="s">
        <v>2</v>
      </c>
      <c r="P481" t="s">
        <v>694</v>
      </c>
      <c r="Q481" s="2">
        <v>0</v>
      </c>
      <c r="R481" s="5">
        <v>24.9</v>
      </c>
      <c r="S481" s="5">
        <v>0</v>
      </c>
      <c r="T481" s="2">
        <v>25</v>
      </c>
      <c r="U481" t="s">
        <v>3</v>
      </c>
      <c r="V481" t="s">
        <v>4</v>
      </c>
      <c r="W481" s="5">
        <v>20.92</v>
      </c>
    </row>
    <row r="482" spans="1:23" ht="15" x14ac:dyDescent="0.2">
      <c r="A482" t="s">
        <v>1009</v>
      </c>
      <c r="B482" s="1">
        <f>45916</f>
        <v>45916</v>
      </c>
      <c r="C482" t="s">
        <v>0</v>
      </c>
      <c r="D482">
        <v>108108</v>
      </c>
      <c r="E482" s="2">
        <v>25004597</v>
      </c>
      <c r="F482" s="2">
        <v>1</v>
      </c>
      <c r="G482" t="s">
        <v>1499</v>
      </c>
      <c r="H482" t="s">
        <v>1180</v>
      </c>
      <c r="I482" t="s">
        <v>1855</v>
      </c>
      <c r="J482" t="s">
        <v>1325</v>
      </c>
      <c r="K482" s="3">
        <v>1</v>
      </c>
      <c r="L482" s="4">
        <v>24</v>
      </c>
      <c r="O482" t="s">
        <v>2</v>
      </c>
      <c r="P482" t="s">
        <v>695</v>
      </c>
      <c r="Q482" s="2">
        <v>0</v>
      </c>
      <c r="R482" s="5">
        <v>24</v>
      </c>
      <c r="S482" s="5">
        <v>0</v>
      </c>
      <c r="T482" s="2">
        <v>24</v>
      </c>
      <c r="U482" t="s">
        <v>3</v>
      </c>
      <c r="V482" t="s">
        <v>205</v>
      </c>
      <c r="W482" s="5">
        <v>20.170000000000002</v>
      </c>
    </row>
    <row r="483" spans="1:23" ht="15" x14ac:dyDescent="0.2">
      <c r="A483" t="s">
        <v>1009</v>
      </c>
      <c r="B483" s="1">
        <f>45916</f>
        <v>45916</v>
      </c>
      <c r="C483" t="s">
        <v>0</v>
      </c>
      <c r="D483">
        <v>108108</v>
      </c>
      <c r="E483" s="2">
        <v>25004598</v>
      </c>
      <c r="F483" s="2">
        <v>1</v>
      </c>
      <c r="G483" t="s">
        <v>1455</v>
      </c>
      <c r="H483" t="s">
        <v>1137</v>
      </c>
      <c r="I483" t="s">
        <v>1720</v>
      </c>
      <c r="J483" t="s">
        <v>1325</v>
      </c>
      <c r="K483" s="3">
        <v>1</v>
      </c>
      <c r="L483" s="4">
        <v>27.5</v>
      </c>
      <c r="O483" t="s">
        <v>2</v>
      </c>
      <c r="P483" t="s">
        <v>696</v>
      </c>
      <c r="Q483" s="2">
        <v>0</v>
      </c>
      <c r="R483" s="5">
        <v>27.5</v>
      </c>
      <c r="S483" s="5">
        <v>0</v>
      </c>
      <c r="T483" s="2">
        <v>28</v>
      </c>
      <c r="U483" t="s">
        <v>3</v>
      </c>
      <c r="V483" t="s">
        <v>76</v>
      </c>
      <c r="W483" s="5">
        <v>23.11</v>
      </c>
    </row>
    <row r="484" spans="1:23" ht="15" x14ac:dyDescent="0.2">
      <c r="A484" t="s">
        <v>1009</v>
      </c>
      <c r="B484" s="1">
        <f>45916</f>
        <v>45916</v>
      </c>
      <c r="C484" t="s">
        <v>0</v>
      </c>
      <c r="D484">
        <v>108108</v>
      </c>
      <c r="E484" s="2">
        <v>25004599</v>
      </c>
      <c r="F484" s="2">
        <v>1</v>
      </c>
      <c r="G484" t="s">
        <v>1444</v>
      </c>
      <c r="H484" t="s">
        <v>1126</v>
      </c>
      <c r="I484" t="s">
        <v>1856</v>
      </c>
      <c r="J484" t="s">
        <v>1323</v>
      </c>
      <c r="K484" s="3">
        <v>1</v>
      </c>
      <c r="L484" s="4">
        <v>23.9</v>
      </c>
      <c r="O484" t="s">
        <v>2</v>
      </c>
      <c r="P484" t="s">
        <v>697</v>
      </c>
      <c r="Q484" s="2">
        <v>0</v>
      </c>
      <c r="R484" s="5">
        <v>23.9</v>
      </c>
      <c r="S484" s="5">
        <v>0</v>
      </c>
      <c r="T484" s="2">
        <v>24</v>
      </c>
      <c r="U484" t="s">
        <v>3</v>
      </c>
      <c r="V484" t="s">
        <v>206</v>
      </c>
      <c r="W484" s="5">
        <v>40.159999999999997</v>
      </c>
    </row>
    <row r="485" spans="1:23" ht="15" x14ac:dyDescent="0.2">
      <c r="A485" t="s">
        <v>1009</v>
      </c>
      <c r="B485" s="1">
        <f>45916</f>
        <v>45916</v>
      </c>
      <c r="C485" t="s">
        <v>0</v>
      </c>
      <c r="D485">
        <v>108108</v>
      </c>
      <c r="E485" s="2">
        <v>25004599</v>
      </c>
      <c r="F485" s="2">
        <v>2</v>
      </c>
      <c r="G485" t="s">
        <v>1460</v>
      </c>
      <c r="H485" t="s">
        <v>1142</v>
      </c>
      <c r="I485" t="s">
        <v>1856</v>
      </c>
      <c r="J485" t="s">
        <v>1323</v>
      </c>
      <c r="K485" s="3">
        <v>1</v>
      </c>
      <c r="L485" s="4">
        <v>23.9</v>
      </c>
      <c r="O485" t="s">
        <v>2</v>
      </c>
      <c r="P485" t="s">
        <v>697</v>
      </c>
      <c r="Q485" s="2">
        <v>0</v>
      </c>
      <c r="R485" s="5">
        <v>23.9</v>
      </c>
      <c r="S485" s="5">
        <v>0</v>
      </c>
      <c r="T485" s="2">
        <v>24</v>
      </c>
      <c r="U485" t="s">
        <v>3</v>
      </c>
      <c r="V485" t="s">
        <v>206</v>
      </c>
      <c r="W485" s="5">
        <v>40.159999999999997</v>
      </c>
    </row>
    <row r="486" spans="1:23" ht="15" x14ac:dyDescent="0.2">
      <c r="A486" t="s">
        <v>1009</v>
      </c>
      <c r="B486" s="1">
        <f>45916</f>
        <v>45916</v>
      </c>
      <c r="C486" t="s">
        <v>0</v>
      </c>
      <c r="D486">
        <v>108108</v>
      </c>
      <c r="E486" s="2">
        <v>25004600</v>
      </c>
      <c r="F486" s="2">
        <v>1</v>
      </c>
      <c r="G486" t="s">
        <v>1555</v>
      </c>
      <c r="H486" t="s">
        <v>1234</v>
      </c>
      <c r="I486" t="s">
        <v>1857</v>
      </c>
      <c r="J486" t="s">
        <v>1325</v>
      </c>
      <c r="K486" s="3">
        <v>1</v>
      </c>
      <c r="L486" s="4">
        <v>6</v>
      </c>
      <c r="O486" t="s">
        <v>2</v>
      </c>
      <c r="P486" t="s">
        <v>698</v>
      </c>
      <c r="Q486" s="2">
        <v>0</v>
      </c>
      <c r="R486" s="5">
        <v>6</v>
      </c>
      <c r="S486" s="5">
        <v>0</v>
      </c>
      <c r="T486" s="2">
        <v>6</v>
      </c>
      <c r="U486" t="s">
        <v>3</v>
      </c>
      <c r="V486" t="s">
        <v>207</v>
      </c>
      <c r="W486" s="5">
        <v>84.79</v>
      </c>
    </row>
    <row r="487" spans="1:23" ht="15" x14ac:dyDescent="0.2">
      <c r="A487" t="s">
        <v>1009</v>
      </c>
      <c r="B487" s="1">
        <f>45916</f>
        <v>45916</v>
      </c>
      <c r="C487" t="s">
        <v>0</v>
      </c>
      <c r="D487">
        <v>108108</v>
      </c>
      <c r="E487" s="2">
        <v>25004600</v>
      </c>
      <c r="F487" s="2">
        <v>2</v>
      </c>
      <c r="G487" t="s">
        <v>1556</v>
      </c>
      <c r="H487" t="s">
        <v>1235</v>
      </c>
      <c r="I487" t="s">
        <v>1857</v>
      </c>
      <c r="J487" t="s">
        <v>1325</v>
      </c>
      <c r="K487" s="3">
        <v>1</v>
      </c>
      <c r="L487" s="4">
        <v>6</v>
      </c>
      <c r="O487" t="s">
        <v>2</v>
      </c>
      <c r="P487" t="s">
        <v>698</v>
      </c>
      <c r="Q487" s="2">
        <v>0</v>
      </c>
      <c r="R487" s="5">
        <v>6</v>
      </c>
      <c r="S487" s="5">
        <v>0</v>
      </c>
      <c r="T487" s="2">
        <v>6</v>
      </c>
      <c r="U487" t="s">
        <v>3</v>
      </c>
      <c r="V487" t="s">
        <v>207</v>
      </c>
      <c r="W487" s="5">
        <v>84.79</v>
      </c>
    </row>
    <row r="488" spans="1:23" ht="15" x14ac:dyDescent="0.2">
      <c r="A488" t="s">
        <v>1009</v>
      </c>
      <c r="B488" s="1">
        <f>45916</f>
        <v>45916</v>
      </c>
      <c r="C488" t="s">
        <v>0</v>
      </c>
      <c r="D488">
        <v>108108</v>
      </c>
      <c r="E488" s="2">
        <v>25004600</v>
      </c>
      <c r="F488" s="2">
        <v>3</v>
      </c>
      <c r="G488" t="s">
        <v>1557</v>
      </c>
      <c r="H488" t="s">
        <v>1236</v>
      </c>
      <c r="I488" t="s">
        <v>1857</v>
      </c>
      <c r="J488" t="s">
        <v>1325</v>
      </c>
      <c r="K488" s="3">
        <v>1</v>
      </c>
      <c r="L488" s="4">
        <v>60</v>
      </c>
      <c r="O488" t="s">
        <v>2</v>
      </c>
      <c r="P488" t="s">
        <v>698</v>
      </c>
      <c r="Q488" s="2">
        <v>0</v>
      </c>
      <c r="R488" s="5">
        <v>60</v>
      </c>
      <c r="S488" s="5">
        <v>0</v>
      </c>
      <c r="T488" s="2">
        <v>60</v>
      </c>
      <c r="U488" t="s">
        <v>3</v>
      </c>
      <c r="V488" t="s">
        <v>207</v>
      </c>
      <c r="W488" s="5">
        <v>84.79</v>
      </c>
    </row>
    <row r="489" spans="1:23" ht="15" x14ac:dyDescent="0.2">
      <c r="A489" t="s">
        <v>1009</v>
      </c>
      <c r="B489" s="1">
        <f>45916</f>
        <v>45916</v>
      </c>
      <c r="C489" t="s">
        <v>0</v>
      </c>
      <c r="D489">
        <v>108108</v>
      </c>
      <c r="E489" s="2">
        <v>25004600</v>
      </c>
      <c r="F489" s="2">
        <v>4</v>
      </c>
      <c r="G489" t="s">
        <v>1558</v>
      </c>
      <c r="H489" t="s">
        <v>1237</v>
      </c>
      <c r="I489" t="s">
        <v>1857</v>
      </c>
      <c r="J489" t="s">
        <v>1325</v>
      </c>
      <c r="K489" s="3">
        <v>1</v>
      </c>
      <c r="L489" s="4">
        <v>28.9</v>
      </c>
      <c r="O489" t="s">
        <v>2</v>
      </c>
      <c r="P489" t="s">
        <v>698</v>
      </c>
      <c r="Q489" s="2">
        <v>0</v>
      </c>
      <c r="R489" s="5">
        <v>28.9</v>
      </c>
      <c r="S489" s="5">
        <v>0</v>
      </c>
      <c r="T489" s="2">
        <v>29</v>
      </c>
      <c r="U489" t="s">
        <v>3</v>
      </c>
      <c r="V489" t="s">
        <v>207</v>
      </c>
      <c r="W489" s="5">
        <v>84.79</v>
      </c>
    </row>
    <row r="490" spans="1:23" ht="15" x14ac:dyDescent="0.2">
      <c r="A490" t="s">
        <v>1009</v>
      </c>
      <c r="B490" s="1">
        <f>45916</f>
        <v>45916</v>
      </c>
      <c r="C490" t="s">
        <v>0</v>
      </c>
      <c r="D490">
        <v>108108</v>
      </c>
      <c r="E490" s="2">
        <v>25004601</v>
      </c>
      <c r="F490" s="2">
        <v>1</v>
      </c>
      <c r="G490" t="s">
        <v>1362</v>
      </c>
      <c r="H490" t="s">
        <v>1044</v>
      </c>
      <c r="I490" t="s">
        <v>1669</v>
      </c>
      <c r="J490" t="s">
        <v>1325</v>
      </c>
      <c r="K490" s="3">
        <v>1</v>
      </c>
      <c r="L490" s="4">
        <v>26.9</v>
      </c>
      <c r="O490" t="s">
        <v>2</v>
      </c>
      <c r="P490" t="s">
        <v>699</v>
      </c>
      <c r="Q490" s="2">
        <v>0</v>
      </c>
      <c r="R490" s="5">
        <v>26.9</v>
      </c>
      <c r="S490" s="5">
        <v>0</v>
      </c>
      <c r="T490" s="2">
        <v>27</v>
      </c>
      <c r="U490" t="s">
        <v>3</v>
      </c>
      <c r="V490" t="s">
        <v>25</v>
      </c>
      <c r="W490" s="5">
        <v>22.61</v>
      </c>
    </row>
    <row r="491" spans="1:23" ht="15" x14ac:dyDescent="0.2">
      <c r="A491" t="s">
        <v>1009</v>
      </c>
      <c r="B491" s="1">
        <f>45916</f>
        <v>45916</v>
      </c>
      <c r="C491" t="s">
        <v>0</v>
      </c>
      <c r="D491">
        <v>108108</v>
      </c>
      <c r="E491" s="2">
        <v>25004602</v>
      </c>
      <c r="F491" s="2">
        <v>1</v>
      </c>
      <c r="G491" t="s">
        <v>1559</v>
      </c>
      <c r="H491" t="s">
        <v>1238</v>
      </c>
      <c r="I491" t="s">
        <v>1647</v>
      </c>
      <c r="J491" t="s">
        <v>1325</v>
      </c>
      <c r="K491" s="3">
        <v>1</v>
      </c>
      <c r="L491" s="4">
        <v>28.9</v>
      </c>
      <c r="O491" t="s">
        <v>2</v>
      </c>
      <c r="P491" t="s">
        <v>700</v>
      </c>
      <c r="Q491" s="2">
        <v>0</v>
      </c>
      <c r="R491" s="5">
        <v>28.9</v>
      </c>
      <c r="S491" s="5">
        <v>0</v>
      </c>
      <c r="T491" s="2">
        <v>29</v>
      </c>
      <c r="U491" t="s">
        <v>3</v>
      </c>
      <c r="V491" t="s">
        <v>1322</v>
      </c>
      <c r="W491" s="5">
        <v>24.29</v>
      </c>
    </row>
    <row r="492" spans="1:23" ht="15" x14ac:dyDescent="0.2">
      <c r="A492" t="s">
        <v>1009</v>
      </c>
      <c r="B492" s="1">
        <f>45916</f>
        <v>45916</v>
      </c>
      <c r="C492" t="s">
        <v>0</v>
      </c>
      <c r="D492">
        <v>108108</v>
      </c>
      <c r="E492" s="2">
        <v>25004603</v>
      </c>
      <c r="F492" s="2">
        <v>1</v>
      </c>
      <c r="G492" t="s">
        <v>1560</v>
      </c>
      <c r="H492" t="s">
        <v>1239</v>
      </c>
      <c r="I492" t="s">
        <v>1858</v>
      </c>
      <c r="J492" t="s">
        <v>1325</v>
      </c>
      <c r="K492" s="3">
        <v>1</v>
      </c>
      <c r="L492" s="4">
        <v>30.9</v>
      </c>
      <c r="O492" t="s">
        <v>2</v>
      </c>
      <c r="P492" t="s">
        <v>701</v>
      </c>
      <c r="Q492" s="2">
        <v>0</v>
      </c>
      <c r="R492" s="5">
        <v>30.9</v>
      </c>
      <c r="S492" s="5">
        <v>0</v>
      </c>
      <c r="T492" s="2">
        <v>31</v>
      </c>
      <c r="U492" t="s">
        <v>3</v>
      </c>
      <c r="V492" t="s">
        <v>208</v>
      </c>
      <c r="W492" s="5">
        <v>25.97</v>
      </c>
    </row>
    <row r="493" spans="1:23" ht="15" x14ac:dyDescent="0.2">
      <c r="A493" t="s">
        <v>1009</v>
      </c>
      <c r="B493" s="1">
        <f>45916</f>
        <v>45916</v>
      </c>
      <c r="C493" t="s">
        <v>0</v>
      </c>
      <c r="D493">
        <v>108108</v>
      </c>
      <c r="E493" s="2">
        <v>25004604</v>
      </c>
      <c r="F493" s="2">
        <v>1</v>
      </c>
      <c r="G493" t="s">
        <v>1332</v>
      </c>
      <c r="H493" t="s">
        <v>362</v>
      </c>
      <c r="I493" t="s">
        <v>1859</v>
      </c>
      <c r="J493" t="s">
        <v>1325</v>
      </c>
      <c r="K493" s="3">
        <v>1</v>
      </c>
      <c r="L493" s="4">
        <v>5</v>
      </c>
      <c r="O493" t="s">
        <v>2</v>
      </c>
      <c r="P493" t="s">
        <v>702</v>
      </c>
      <c r="Q493" s="2">
        <v>0</v>
      </c>
      <c r="R493" s="5">
        <v>5</v>
      </c>
      <c r="S493" s="5">
        <v>0</v>
      </c>
      <c r="T493" s="2">
        <v>5</v>
      </c>
      <c r="U493" t="s">
        <v>3</v>
      </c>
      <c r="V493" t="s">
        <v>209</v>
      </c>
      <c r="W493" s="5">
        <v>28.49</v>
      </c>
    </row>
    <row r="494" spans="1:23" ht="15" x14ac:dyDescent="0.2">
      <c r="A494" t="s">
        <v>1009</v>
      </c>
      <c r="B494" s="1">
        <f>45916</f>
        <v>45916</v>
      </c>
      <c r="C494" t="s">
        <v>0</v>
      </c>
      <c r="D494">
        <v>108108</v>
      </c>
      <c r="E494" s="2">
        <v>25004604</v>
      </c>
      <c r="F494" s="2">
        <v>2</v>
      </c>
      <c r="G494" t="s">
        <v>1561</v>
      </c>
      <c r="H494" t="s">
        <v>1240</v>
      </c>
      <c r="I494" t="s">
        <v>1859</v>
      </c>
      <c r="J494" t="s">
        <v>1325</v>
      </c>
      <c r="K494" s="3">
        <v>1</v>
      </c>
      <c r="L494" s="4">
        <v>28.9</v>
      </c>
      <c r="O494" t="s">
        <v>2</v>
      </c>
      <c r="P494" t="s">
        <v>702</v>
      </c>
      <c r="Q494" s="2">
        <v>0</v>
      </c>
      <c r="R494" s="5">
        <v>28.9</v>
      </c>
      <c r="S494" s="5">
        <v>0</v>
      </c>
      <c r="T494" s="2">
        <v>29</v>
      </c>
      <c r="U494" t="s">
        <v>3</v>
      </c>
      <c r="V494" t="s">
        <v>209</v>
      </c>
      <c r="W494" s="5">
        <v>28.49</v>
      </c>
    </row>
    <row r="495" spans="1:23" ht="15" x14ac:dyDescent="0.2">
      <c r="A495" t="s">
        <v>1009</v>
      </c>
      <c r="B495" s="1">
        <f>45916</f>
        <v>45916</v>
      </c>
      <c r="C495" t="s">
        <v>0</v>
      </c>
      <c r="D495">
        <v>108108</v>
      </c>
      <c r="E495" s="2">
        <v>25004605</v>
      </c>
      <c r="F495" s="2">
        <v>1</v>
      </c>
      <c r="G495" t="s">
        <v>1562</v>
      </c>
      <c r="H495" t="s">
        <v>1241</v>
      </c>
      <c r="I495" t="s">
        <v>1860</v>
      </c>
      <c r="J495" t="s">
        <v>1323</v>
      </c>
      <c r="K495" s="3">
        <v>1</v>
      </c>
      <c r="L495" s="4">
        <v>21.9</v>
      </c>
      <c r="O495" t="s">
        <v>2</v>
      </c>
      <c r="P495" t="s">
        <v>703</v>
      </c>
      <c r="Q495" s="2">
        <v>0</v>
      </c>
      <c r="R495" s="5">
        <v>21.9</v>
      </c>
      <c r="S495" s="5">
        <v>0</v>
      </c>
      <c r="T495" s="2">
        <v>22</v>
      </c>
      <c r="U495" t="s">
        <v>3</v>
      </c>
      <c r="V495" t="s">
        <v>210</v>
      </c>
      <c r="W495" s="5">
        <v>22.6</v>
      </c>
    </row>
    <row r="496" spans="1:23" ht="15" x14ac:dyDescent="0.2">
      <c r="A496" t="s">
        <v>1009</v>
      </c>
      <c r="B496" s="1">
        <f>45916</f>
        <v>45916</v>
      </c>
      <c r="C496" t="s">
        <v>0</v>
      </c>
      <c r="D496">
        <v>108108</v>
      </c>
      <c r="E496" s="2">
        <v>25004605</v>
      </c>
      <c r="F496" s="2">
        <v>2</v>
      </c>
      <c r="G496" t="s">
        <v>1332</v>
      </c>
      <c r="H496" t="s">
        <v>362</v>
      </c>
      <c r="I496" t="s">
        <v>1860</v>
      </c>
      <c r="J496" t="s">
        <v>1323</v>
      </c>
      <c r="K496" s="3">
        <v>1</v>
      </c>
      <c r="L496" s="4">
        <v>5</v>
      </c>
      <c r="O496" t="s">
        <v>2</v>
      </c>
      <c r="P496" t="s">
        <v>703</v>
      </c>
      <c r="Q496" s="2">
        <v>0</v>
      </c>
      <c r="R496" s="5">
        <v>5</v>
      </c>
      <c r="S496" s="5">
        <v>0</v>
      </c>
      <c r="T496" s="2">
        <v>5</v>
      </c>
      <c r="U496" t="s">
        <v>3</v>
      </c>
      <c r="V496" t="s">
        <v>210</v>
      </c>
      <c r="W496" s="5">
        <v>22.6</v>
      </c>
    </row>
    <row r="497" spans="1:23" ht="15" x14ac:dyDescent="0.2">
      <c r="A497" t="s">
        <v>1009</v>
      </c>
      <c r="B497" s="1">
        <f>45916</f>
        <v>45916</v>
      </c>
      <c r="C497" t="s">
        <v>0</v>
      </c>
      <c r="D497">
        <v>108108</v>
      </c>
      <c r="E497" s="2">
        <v>25004606</v>
      </c>
      <c r="F497" s="2">
        <v>1</v>
      </c>
      <c r="G497" t="s">
        <v>1544</v>
      </c>
      <c r="H497" t="s">
        <v>1223</v>
      </c>
      <c r="I497" t="s">
        <v>1861</v>
      </c>
      <c r="J497" t="s">
        <v>1325</v>
      </c>
      <c r="K497" s="3">
        <v>1</v>
      </c>
      <c r="L497" s="4">
        <v>18.899999999999999</v>
      </c>
      <c r="O497" t="s">
        <v>2</v>
      </c>
      <c r="P497" t="s">
        <v>704</v>
      </c>
      <c r="Q497" s="2">
        <v>0</v>
      </c>
      <c r="R497" s="5">
        <v>18.899999999999999</v>
      </c>
      <c r="S497" s="5">
        <v>0</v>
      </c>
      <c r="T497" s="2">
        <v>19</v>
      </c>
      <c r="U497" t="s">
        <v>3</v>
      </c>
      <c r="V497" t="s">
        <v>211</v>
      </c>
      <c r="W497" s="5">
        <v>15.88</v>
      </c>
    </row>
    <row r="498" spans="1:23" ht="15" x14ac:dyDescent="0.2">
      <c r="A498" t="s">
        <v>1009</v>
      </c>
      <c r="B498" s="1">
        <f>45916</f>
        <v>45916</v>
      </c>
      <c r="C498" t="s">
        <v>0</v>
      </c>
      <c r="D498">
        <v>108108</v>
      </c>
      <c r="E498" s="2">
        <v>25004607</v>
      </c>
      <c r="F498" s="2">
        <v>1</v>
      </c>
      <c r="G498" t="s">
        <v>1349</v>
      </c>
      <c r="H498" t="s">
        <v>1031</v>
      </c>
      <c r="I498" t="s">
        <v>1862</v>
      </c>
      <c r="J498" t="s">
        <v>1325</v>
      </c>
      <c r="K498" s="3">
        <v>1</v>
      </c>
      <c r="L498" s="4">
        <v>21.9</v>
      </c>
      <c r="O498" t="s">
        <v>2</v>
      </c>
      <c r="P498" t="s">
        <v>705</v>
      </c>
      <c r="Q498" s="2">
        <v>0</v>
      </c>
      <c r="R498" s="5">
        <v>21.9</v>
      </c>
      <c r="S498" s="5">
        <v>0</v>
      </c>
      <c r="T498" s="2">
        <v>22</v>
      </c>
      <c r="U498" t="s">
        <v>3</v>
      </c>
      <c r="V498" t="s">
        <v>212</v>
      </c>
      <c r="W498" s="5">
        <v>23.44</v>
      </c>
    </row>
    <row r="499" spans="1:23" ht="15" x14ac:dyDescent="0.2">
      <c r="A499" t="s">
        <v>1009</v>
      </c>
      <c r="B499" s="1">
        <f>45916</f>
        <v>45916</v>
      </c>
      <c r="C499" t="s">
        <v>0</v>
      </c>
      <c r="D499">
        <v>108108</v>
      </c>
      <c r="E499" s="2">
        <v>25004607</v>
      </c>
      <c r="F499" s="2">
        <v>2</v>
      </c>
      <c r="G499" t="s">
        <v>1410</v>
      </c>
      <c r="H499" t="s">
        <v>1092</v>
      </c>
      <c r="I499" t="s">
        <v>1862</v>
      </c>
      <c r="J499" t="s">
        <v>1325</v>
      </c>
      <c r="K499" s="3">
        <v>1</v>
      </c>
      <c r="L499" s="4">
        <v>6</v>
      </c>
      <c r="O499" t="s">
        <v>2</v>
      </c>
      <c r="P499" t="s">
        <v>705</v>
      </c>
      <c r="Q499" s="2">
        <v>0</v>
      </c>
      <c r="R499" s="5">
        <v>6</v>
      </c>
      <c r="S499" s="5">
        <v>0</v>
      </c>
      <c r="T499" s="2">
        <v>6</v>
      </c>
      <c r="U499" t="s">
        <v>3</v>
      </c>
      <c r="V499" t="s">
        <v>212</v>
      </c>
      <c r="W499" s="5">
        <v>23.44</v>
      </c>
    </row>
    <row r="500" spans="1:23" ht="15" x14ac:dyDescent="0.2">
      <c r="A500" t="s">
        <v>1009</v>
      </c>
      <c r="B500" s="1">
        <f>45916</f>
        <v>45916</v>
      </c>
      <c r="C500" t="s">
        <v>0</v>
      </c>
      <c r="D500">
        <v>108108</v>
      </c>
      <c r="E500" s="2">
        <v>25004608</v>
      </c>
      <c r="F500" s="2">
        <v>1</v>
      </c>
      <c r="G500" t="s">
        <v>1563</v>
      </c>
      <c r="H500" t="s">
        <v>1242</v>
      </c>
      <c r="I500" t="s">
        <v>1721</v>
      </c>
      <c r="J500" t="s">
        <v>1323</v>
      </c>
      <c r="K500" s="3">
        <v>1</v>
      </c>
      <c r="L500" s="4">
        <v>18.899999999999999</v>
      </c>
      <c r="O500" t="s">
        <v>2</v>
      </c>
      <c r="P500" t="s">
        <v>706</v>
      </c>
      <c r="Q500" s="2">
        <v>0</v>
      </c>
      <c r="R500" s="5">
        <v>18.899999999999999</v>
      </c>
      <c r="S500" s="5">
        <v>0</v>
      </c>
      <c r="T500" s="2">
        <v>19</v>
      </c>
      <c r="U500" t="s">
        <v>3</v>
      </c>
      <c r="V500" t="s">
        <v>77</v>
      </c>
      <c r="W500" s="5">
        <v>15.88</v>
      </c>
    </row>
    <row r="501" spans="1:23" ht="15" x14ac:dyDescent="0.2">
      <c r="A501" t="s">
        <v>1009</v>
      </c>
      <c r="B501" s="1">
        <f>45916</f>
        <v>45916</v>
      </c>
      <c r="C501" t="s">
        <v>0</v>
      </c>
      <c r="D501">
        <v>108108</v>
      </c>
      <c r="E501" s="2">
        <v>25004609</v>
      </c>
      <c r="F501" s="2">
        <v>1</v>
      </c>
      <c r="G501" t="s">
        <v>1408</v>
      </c>
      <c r="H501" t="s">
        <v>1090</v>
      </c>
      <c r="I501" t="s">
        <v>1863</v>
      </c>
      <c r="J501" t="s">
        <v>1323</v>
      </c>
      <c r="K501" s="3">
        <v>1</v>
      </c>
      <c r="L501" s="4">
        <v>22.9</v>
      </c>
      <c r="O501" t="s">
        <v>2</v>
      </c>
      <c r="P501" t="s">
        <v>707</v>
      </c>
      <c r="Q501" s="2">
        <v>0</v>
      </c>
      <c r="R501" s="5">
        <v>22.9</v>
      </c>
      <c r="S501" s="5">
        <v>0</v>
      </c>
      <c r="T501" s="2">
        <v>23</v>
      </c>
      <c r="U501" t="s">
        <v>3</v>
      </c>
      <c r="V501" t="s">
        <v>213</v>
      </c>
      <c r="W501" s="5">
        <v>23.44</v>
      </c>
    </row>
    <row r="502" spans="1:23" ht="15" x14ac:dyDescent="0.2">
      <c r="A502" t="s">
        <v>1009</v>
      </c>
      <c r="B502" s="1">
        <f>45916</f>
        <v>45916</v>
      </c>
      <c r="C502" t="s">
        <v>0</v>
      </c>
      <c r="D502">
        <v>108108</v>
      </c>
      <c r="E502" s="2">
        <v>25004609</v>
      </c>
      <c r="F502" s="2">
        <v>2</v>
      </c>
      <c r="G502" t="s">
        <v>1332</v>
      </c>
      <c r="H502" t="s">
        <v>362</v>
      </c>
      <c r="I502" t="s">
        <v>1863</v>
      </c>
      <c r="J502" t="s">
        <v>1323</v>
      </c>
      <c r="K502" s="3">
        <v>1</v>
      </c>
      <c r="L502" s="4">
        <v>5</v>
      </c>
      <c r="O502" t="s">
        <v>2</v>
      </c>
      <c r="P502" t="s">
        <v>707</v>
      </c>
      <c r="Q502" s="2">
        <v>0</v>
      </c>
      <c r="R502" s="5">
        <v>5</v>
      </c>
      <c r="S502" s="5">
        <v>0</v>
      </c>
      <c r="T502" s="2">
        <v>5</v>
      </c>
      <c r="U502" t="s">
        <v>3</v>
      </c>
      <c r="V502" t="s">
        <v>213</v>
      </c>
      <c r="W502" s="5">
        <v>23.44</v>
      </c>
    </row>
    <row r="503" spans="1:23" ht="15" x14ac:dyDescent="0.2">
      <c r="A503" t="s">
        <v>1009</v>
      </c>
      <c r="B503" s="1">
        <f>45916</f>
        <v>45916</v>
      </c>
      <c r="C503" t="s">
        <v>0</v>
      </c>
      <c r="D503">
        <v>108108</v>
      </c>
      <c r="E503" s="2">
        <v>25004610</v>
      </c>
      <c r="F503" s="2">
        <v>1</v>
      </c>
      <c r="G503" t="s">
        <v>1564</v>
      </c>
      <c r="H503" t="s">
        <v>1243</v>
      </c>
      <c r="I503" t="s">
        <v>1647</v>
      </c>
      <c r="J503" t="s">
        <v>1323</v>
      </c>
      <c r="K503" s="3">
        <v>1</v>
      </c>
      <c r="L503" s="4">
        <v>16.899999999999999</v>
      </c>
      <c r="O503" t="s">
        <v>2</v>
      </c>
      <c r="P503" t="s">
        <v>708</v>
      </c>
      <c r="Q503" s="2">
        <v>0</v>
      </c>
      <c r="R503" s="5">
        <v>16.899999999999999</v>
      </c>
      <c r="S503" s="5">
        <v>0</v>
      </c>
      <c r="T503" s="2">
        <v>17</v>
      </c>
      <c r="U503" t="s">
        <v>3</v>
      </c>
      <c r="V503" t="s">
        <v>1322</v>
      </c>
      <c r="W503" s="5">
        <v>14.2</v>
      </c>
    </row>
    <row r="504" spans="1:23" ht="15" x14ac:dyDescent="0.2">
      <c r="A504" t="s">
        <v>1009</v>
      </c>
      <c r="B504" s="1">
        <f>45916</f>
        <v>45916</v>
      </c>
      <c r="C504" t="s">
        <v>0</v>
      </c>
      <c r="D504">
        <v>108108</v>
      </c>
      <c r="E504" s="2">
        <v>25004611</v>
      </c>
      <c r="F504" s="2">
        <v>1</v>
      </c>
      <c r="G504" t="s">
        <v>1434</v>
      </c>
      <c r="H504" t="s">
        <v>1116</v>
      </c>
      <c r="I504" t="s">
        <v>1647</v>
      </c>
      <c r="J504" t="s">
        <v>1325</v>
      </c>
      <c r="K504" s="3">
        <v>1</v>
      </c>
      <c r="L504" s="4">
        <v>22.9</v>
      </c>
      <c r="O504" t="s">
        <v>2</v>
      </c>
      <c r="P504" t="s">
        <v>709</v>
      </c>
      <c r="Q504" s="2">
        <v>0</v>
      </c>
      <c r="R504" s="5">
        <v>22.9</v>
      </c>
      <c r="S504" s="5">
        <v>0</v>
      </c>
      <c r="T504" s="2">
        <v>23</v>
      </c>
      <c r="U504" t="s">
        <v>3</v>
      </c>
      <c r="V504" t="s">
        <v>1322</v>
      </c>
      <c r="W504" s="5">
        <v>19.239999999999998</v>
      </c>
    </row>
    <row r="505" spans="1:23" ht="15" x14ac:dyDescent="0.2">
      <c r="A505" t="s">
        <v>1009</v>
      </c>
      <c r="B505" s="1">
        <f>45916</f>
        <v>45916</v>
      </c>
      <c r="C505" t="s">
        <v>0</v>
      </c>
      <c r="D505">
        <v>108108</v>
      </c>
      <c r="E505" s="2">
        <v>25004612</v>
      </c>
      <c r="F505" s="2">
        <v>1</v>
      </c>
      <c r="G505" t="s">
        <v>1565</v>
      </c>
      <c r="H505" t="s">
        <v>1244</v>
      </c>
      <c r="I505" t="s">
        <v>1864</v>
      </c>
      <c r="J505" t="s">
        <v>1323</v>
      </c>
      <c r="K505" s="3">
        <v>1</v>
      </c>
      <c r="L505" s="4">
        <v>168</v>
      </c>
      <c r="O505" t="s">
        <v>2</v>
      </c>
      <c r="P505" t="s">
        <v>710</v>
      </c>
      <c r="Q505" s="2">
        <v>0</v>
      </c>
      <c r="R505" s="5">
        <v>168</v>
      </c>
      <c r="S505" s="5">
        <v>0</v>
      </c>
      <c r="T505" s="2">
        <v>168</v>
      </c>
      <c r="U505" t="s">
        <v>3</v>
      </c>
      <c r="V505" t="s">
        <v>214</v>
      </c>
      <c r="W505" s="5">
        <v>141.18</v>
      </c>
    </row>
    <row r="506" spans="1:23" ht="15" x14ac:dyDescent="0.2">
      <c r="A506" t="s">
        <v>1009</v>
      </c>
      <c r="B506" s="1">
        <f>45916</f>
        <v>45916</v>
      </c>
      <c r="C506" t="s">
        <v>0</v>
      </c>
      <c r="D506">
        <v>108108</v>
      </c>
      <c r="E506" s="2">
        <v>25004613</v>
      </c>
      <c r="F506" s="2">
        <v>1</v>
      </c>
      <c r="G506" t="s">
        <v>1383</v>
      </c>
      <c r="H506" t="s">
        <v>1065</v>
      </c>
      <c r="I506" t="s">
        <v>1865</v>
      </c>
      <c r="J506" t="s">
        <v>1325</v>
      </c>
      <c r="K506" s="3">
        <v>1</v>
      </c>
      <c r="L506" s="4">
        <v>22.9</v>
      </c>
      <c r="O506" t="s">
        <v>2</v>
      </c>
      <c r="P506" t="s">
        <v>711</v>
      </c>
      <c r="Q506" s="2">
        <v>0</v>
      </c>
      <c r="R506" s="5">
        <v>22.9</v>
      </c>
      <c r="S506" s="5">
        <v>0</v>
      </c>
      <c r="T506" s="2">
        <v>23</v>
      </c>
      <c r="U506" t="s">
        <v>3</v>
      </c>
      <c r="V506" t="s">
        <v>215</v>
      </c>
      <c r="W506" s="5">
        <v>19.239999999999998</v>
      </c>
    </row>
    <row r="507" spans="1:23" ht="15" x14ac:dyDescent="0.2">
      <c r="A507" t="s">
        <v>1009</v>
      </c>
      <c r="B507" s="1">
        <f>45916</f>
        <v>45916</v>
      </c>
      <c r="C507" t="s">
        <v>0</v>
      </c>
      <c r="D507">
        <v>108108</v>
      </c>
      <c r="E507" s="2">
        <v>25004614</v>
      </c>
      <c r="F507" s="2">
        <v>1</v>
      </c>
      <c r="G507" t="s">
        <v>1646</v>
      </c>
      <c r="H507" t="s">
        <v>361</v>
      </c>
      <c r="I507" t="s">
        <v>1647</v>
      </c>
      <c r="J507" t="s">
        <v>1323</v>
      </c>
      <c r="K507" s="3">
        <v>1</v>
      </c>
      <c r="L507" s="4">
        <v>-450</v>
      </c>
      <c r="Q507" s="2">
        <v>0</v>
      </c>
      <c r="R507" s="5">
        <v>-450</v>
      </c>
      <c r="S507" s="5">
        <v>0</v>
      </c>
      <c r="T507" s="2">
        <v>-450</v>
      </c>
      <c r="U507" t="s">
        <v>1</v>
      </c>
      <c r="V507" t="s">
        <v>361</v>
      </c>
      <c r="W507" s="5">
        <v>-450</v>
      </c>
    </row>
    <row r="508" spans="1:23" ht="15" x14ac:dyDescent="0.2">
      <c r="A508" t="s">
        <v>1009</v>
      </c>
      <c r="B508" s="1">
        <f>45917</f>
        <v>45917</v>
      </c>
      <c r="C508" t="s">
        <v>0</v>
      </c>
      <c r="D508">
        <v>108108</v>
      </c>
      <c r="E508" s="2">
        <v>25004615</v>
      </c>
      <c r="F508" s="2">
        <v>1</v>
      </c>
      <c r="G508" t="s">
        <v>1646</v>
      </c>
      <c r="H508" t="s">
        <v>361</v>
      </c>
      <c r="I508" t="s">
        <v>1647</v>
      </c>
      <c r="J508" t="s">
        <v>1324</v>
      </c>
      <c r="K508" s="3">
        <v>1</v>
      </c>
      <c r="L508" s="4">
        <v>450</v>
      </c>
      <c r="Q508" s="2">
        <v>0</v>
      </c>
      <c r="R508" s="5">
        <v>450</v>
      </c>
      <c r="S508" s="5">
        <v>0</v>
      </c>
      <c r="T508" s="2">
        <v>450</v>
      </c>
      <c r="U508" t="s">
        <v>1</v>
      </c>
      <c r="V508" t="s">
        <v>361</v>
      </c>
      <c r="W508" s="5">
        <v>450</v>
      </c>
    </row>
    <row r="509" spans="1:23" ht="15" x14ac:dyDescent="0.2">
      <c r="A509" t="s">
        <v>1009</v>
      </c>
      <c r="B509" s="1">
        <f>45917</f>
        <v>45917</v>
      </c>
      <c r="C509" t="s">
        <v>0</v>
      </c>
      <c r="D509">
        <v>108108</v>
      </c>
      <c r="E509" s="2">
        <v>25004616</v>
      </c>
      <c r="F509" s="2">
        <v>1</v>
      </c>
      <c r="G509" t="s">
        <v>1418</v>
      </c>
      <c r="H509" t="s">
        <v>1100</v>
      </c>
      <c r="I509" t="s">
        <v>1866</v>
      </c>
      <c r="J509" t="s">
        <v>1324</v>
      </c>
      <c r="K509" s="3">
        <v>1</v>
      </c>
      <c r="L509" s="4">
        <v>22.9</v>
      </c>
      <c r="O509" t="s">
        <v>2</v>
      </c>
      <c r="P509" t="s">
        <v>712</v>
      </c>
      <c r="Q509" s="2">
        <v>0</v>
      </c>
      <c r="R509" s="5">
        <v>22.9</v>
      </c>
      <c r="S509" s="5">
        <v>0</v>
      </c>
      <c r="T509" s="2">
        <v>23</v>
      </c>
      <c r="U509" t="s">
        <v>3</v>
      </c>
      <c r="V509" t="s">
        <v>216</v>
      </c>
      <c r="W509" s="5">
        <v>19.239999999999998</v>
      </c>
    </row>
    <row r="510" spans="1:23" ht="15" x14ac:dyDescent="0.2">
      <c r="A510" t="s">
        <v>1009</v>
      </c>
      <c r="B510" s="1">
        <f>45917</f>
        <v>45917</v>
      </c>
      <c r="C510" t="s">
        <v>0</v>
      </c>
      <c r="D510">
        <v>108108</v>
      </c>
      <c r="E510" s="2">
        <v>25004617</v>
      </c>
      <c r="F510" s="2">
        <v>1</v>
      </c>
      <c r="G510" t="s">
        <v>1448</v>
      </c>
      <c r="H510" t="s">
        <v>1130</v>
      </c>
      <c r="I510" t="s">
        <v>1647</v>
      </c>
      <c r="J510" t="s">
        <v>1324</v>
      </c>
      <c r="K510" s="3">
        <v>1</v>
      </c>
      <c r="L510" s="4">
        <v>6</v>
      </c>
      <c r="O510" t="s">
        <v>2</v>
      </c>
      <c r="P510" t="s">
        <v>713</v>
      </c>
      <c r="Q510" s="2">
        <v>50</v>
      </c>
      <c r="R510" s="5">
        <v>12</v>
      </c>
      <c r="S510" s="5">
        <v>6</v>
      </c>
      <c r="T510" s="2">
        <v>6</v>
      </c>
      <c r="U510" t="s">
        <v>3</v>
      </c>
      <c r="V510" t="s">
        <v>1322</v>
      </c>
      <c r="W510" s="5">
        <v>5.04</v>
      </c>
    </row>
    <row r="511" spans="1:23" ht="15" x14ac:dyDescent="0.2">
      <c r="A511" t="s">
        <v>1009</v>
      </c>
      <c r="B511" s="1">
        <f>45917</f>
        <v>45917</v>
      </c>
      <c r="C511" t="s">
        <v>0</v>
      </c>
      <c r="D511">
        <v>108108</v>
      </c>
      <c r="E511" s="2">
        <v>25004618</v>
      </c>
      <c r="F511" s="2">
        <v>1</v>
      </c>
      <c r="G511" t="s">
        <v>1566</v>
      </c>
      <c r="H511" t="s">
        <v>1245</v>
      </c>
      <c r="I511" t="s">
        <v>1843</v>
      </c>
      <c r="J511" t="s">
        <v>1324</v>
      </c>
      <c r="K511" s="3">
        <v>1</v>
      </c>
      <c r="L511" s="4">
        <v>21.9</v>
      </c>
      <c r="O511" t="s">
        <v>2</v>
      </c>
      <c r="P511" t="s">
        <v>714</v>
      </c>
      <c r="Q511" s="2">
        <v>0</v>
      </c>
      <c r="R511" s="5">
        <v>21.9</v>
      </c>
      <c r="S511" s="5">
        <v>0</v>
      </c>
      <c r="T511" s="2">
        <v>22</v>
      </c>
      <c r="U511" t="s">
        <v>3</v>
      </c>
      <c r="V511" t="s">
        <v>193</v>
      </c>
      <c r="W511" s="5">
        <v>18.399999999999999</v>
      </c>
    </row>
    <row r="512" spans="1:23" ht="15" x14ac:dyDescent="0.2">
      <c r="A512" t="s">
        <v>1009</v>
      </c>
      <c r="B512" s="1">
        <f>45917</f>
        <v>45917</v>
      </c>
      <c r="C512" t="s">
        <v>0</v>
      </c>
      <c r="D512">
        <v>108108</v>
      </c>
      <c r="E512" s="2">
        <v>25004619</v>
      </c>
      <c r="F512" s="2">
        <v>1</v>
      </c>
      <c r="G512" t="s">
        <v>1387</v>
      </c>
      <c r="H512" t="s">
        <v>1069</v>
      </c>
      <c r="I512" t="s">
        <v>1867</v>
      </c>
      <c r="J512" t="s">
        <v>1325</v>
      </c>
      <c r="K512" s="3">
        <v>1</v>
      </c>
      <c r="L512" s="4">
        <v>26.9</v>
      </c>
      <c r="O512" t="s">
        <v>2</v>
      </c>
      <c r="P512" t="s">
        <v>715</v>
      </c>
      <c r="Q512" s="2">
        <v>0</v>
      </c>
      <c r="R512" s="5">
        <v>26.9</v>
      </c>
      <c r="S512" s="5">
        <v>0</v>
      </c>
      <c r="T512" s="2">
        <v>27</v>
      </c>
      <c r="U512" t="s">
        <v>3</v>
      </c>
      <c r="V512" t="s">
        <v>217</v>
      </c>
      <c r="W512" s="5">
        <v>22.61</v>
      </c>
    </row>
    <row r="513" spans="1:23" ht="15" x14ac:dyDescent="0.2">
      <c r="A513" t="s">
        <v>1009</v>
      </c>
      <c r="B513" s="1">
        <f>45917</f>
        <v>45917</v>
      </c>
      <c r="C513" t="s">
        <v>0</v>
      </c>
      <c r="D513">
        <v>108108</v>
      </c>
      <c r="E513" s="2">
        <v>25004620</v>
      </c>
      <c r="F513" s="2">
        <v>1</v>
      </c>
      <c r="G513" t="s">
        <v>1447</v>
      </c>
      <c r="H513" t="s">
        <v>1129</v>
      </c>
      <c r="I513" t="s">
        <v>1817</v>
      </c>
      <c r="J513" t="s">
        <v>1325</v>
      </c>
      <c r="K513" s="3">
        <v>1</v>
      </c>
      <c r="L513" s="4">
        <v>26.9</v>
      </c>
      <c r="O513" t="s">
        <v>2</v>
      </c>
      <c r="P513" t="s">
        <v>716</v>
      </c>
      <c r="Q513" s="2">
        <v>0</v>
      </c>
      <c r="R513" s="5">
        <v>26.9</v>
      </c>
      <c r="S513" s="5">
        <v>0</v>
      </c>
      <c r="T513" s="2">
        <v>27</v>
      </c>
      <c r="U513" t="s">
        <v>3</v>
      </c>
      <c r="V513" t="s">
        <v>169</v>
      </c>
      <c r="W513" s="5">
        <v>22.61</v>
      </c>
    </row>
    <row r="514" spans="1:23" ht="15" x14ac:dyDescent="0.2">
      <c r="A514" t="s">
        <v>1009</v>
      </c>
      <c r="B514" s="1">
        <f>45917</f>
        <v>45917</v>
      </c>
      <c r="C514" t="s">
        <v>0</v>
      </c>
      <c r="D514">
        <v>108108</v>
      </c>
      <c r="E514" s="2">
        <v>25004621</v>
      </c>
      <c r="F514" s="2">
        <v>1</v>
      </c>
      <c r="G514" t="s">
        <v>1567</v>
      </c>
      <c r="H514" t="s">
        <v>1113</v>
      </c>
      <c r="I514" t="s">
        <v>1868</v>
      </c>
      <c r="J514" t="s">
        <v>1325</v>
      </c>
      <c r="K514" s="3">
        <v>1</v>
      </c>
      <c r="L514" s="4">
        <v>11.45</v>
      </c>
      <c r="O514" t="s">
        <v>2</v>
      </c>
      <c r="P514" t="s">
        <v>717</v>
      </c>
      <c r="Q514" s="2">
        <v>50</v>
      </c>
      <c r="R514" s="5">
        <v>22.9</v>
      </c>
      <c r="S514" s="5">
        <v>11.45</v>
      </c>
      <c r="T514" s="2">
        <v>11</v>
      </c>
      <c r="U514" t="s">
        <v>3</v>
      </c>
      <c r="V514" t="s">
        <v>218</v>
      </c>
      <c r="W514" s="5">
        <v>9.6199999999999992</v>
      </c>
    </row>
    <row r="515" spans="1:23" ht="15" x14ac:dyDescent="0.2">
      <c r="A515" t="s">
        <v>1009</v>
      </c>
      <c r="B515" s="1">
        <f>45917</f>
        <v>45917</v>
      </c>
      <c r="C515" t="s">
        <v>0</v>
      </c>
      <c r="D515">
        <v>108108</v>
      </c>
      <c r="E515" s="2">
        <v>25004622</v>
      </c>
      <c r="F515" s="2">
        <v>1</v>
      </c>
      <c r="G515" t="s">
        <v>1568</v>
      </c>
      <c r="H515" t="s">
        <v>1246</v>
      </c>
      <c r="I515" t="s">
        <v>1869</v>
      </c>
      <c r="J515" t="s">
        <v>1325</v>
      </c>
      <c r="K515" s="3">
        <v>1</v>
      </c>
      <c r="L515" s="4">
        <v>30</v>
      </c>
      <c r="O515" t="s">
        <v>2</v>
      </c>
      <c r="P515" t="s">
        <v>718</v>
      </c>
      <c r="Q515" s="2">
        <v>0</v>
      </c>
      <c r="R515" s="5">
        <v>30</v>
      </c>
      <c r="S515" s="5">
        <v>0</v>
      </c>
      <c r="T515" s="2">
        <v>30</v>
      </c>
      <c r="U515" t="s">
        <v>3</v>
      </c>
      <c r="V515" t="s">
        <v>219</v>
      </c>
      <c r="W515" s="5">
        <v>25.21</v>
      </c>
    </row>
    <row r="516" spans="1:23" ht="15" x14ac:dyDescent="0.2">
      <c r="A516" t="s">
        <v>1009</v>
      </c>
      <c r="B516" s="1">
        <f>45917</f>
        <v>45917</v>
      </c>
      <c r="C516" t="s">
        <v>0</v>
      </c>
      <c r="D516">
        <v>108108</v>
      </c>
      <c r="E516" s="2">
        <v>25004623</v>
      </c>
      <c r="F516" s="2">
        <v>1</v>
      </c>
      <c r="G516" t="s">
        <v>1569</v>
      </c>
      <c r="H516" t="s">
        <v>1247</v>
      </c>
      <c r="I516" t="s">
        <v>1870</v>
      </c>
      <c r="J516" t="s">
        <v>1325</v>
      </c>
      <c r="K516" s="3">
        <v>1</v>
      </c>
      <c r="L516" s="4">
        <v>16.899999999999999</v>
      </c>
      <c r="O516" t="s">
        <v>2</v>
      </c>
      <c r="P516" t="s">
        <v>719</v>
      </c>
      <c r="Q516" s="2">
        <v>0</v>
      </c>
      <c r="R516" s="5">
        <v>16.899999999999999</v>
      </c>
      <c r="S516" s="5">
        <v>0</v>
      </c>
      <c r="T516" s="2">
        <v>17</v>
      </c>
      <c r="U516" t="s">
        <v>3</v>
      </c>
      <c r="V516" t="s">
        <v>220</v>
      </c>
      <c r="W516" s="5">
        <v>47.81</v>
      </c>
    </row>
    <row r="517" spans="1:23" ht="15" x14ac:dyDescent="0.2">
      <c r="A517" t="s">
        <v>1009</v>
      </c>
      <c r="B517" s="1">
        <f>45917</f>
        <v>45917</v>
      </c>
      <c r="C517" t="s">
        <v>0</v>
      </c>
      <c r="D517">
        <v>108108</v>
      </c>
      <c r="E517" s="2">
        <v>25004623</v>
      </c>
      <c r="F517" s="2">
        <v>2</v>
      </c>
      <c r="G517" t="s">
        <v>1570</v>
      </c>
      <c r="H517" t="s">
        <v>1248</v>
      </c>
      <c r="I517" t="s">
        <v>1870</v>
      </c>
      <c r="J517" t="s">
        <v>1325</v>
      </c>
      <c r="K517" s="3">
        <v>1</v>
      </c>
      <c r="L517" s="4">
        <v>40</v>
      </c>
      <c r="O517" t="s">
        <v>2</v>
      </c>
      <c r="P517" t="s">
        <v>719</v>
      </c>
      <c r="Q517" s="2">
        <v>0</v>
      </c>
      <c r="R517" s="5">
        <v>40</v>
      </c>
      <c r="S517" s="5">
        <v>0</v>
      </c>
      <c r="T517" s="2">
        <v>40</v>
      </c>
      <c r="U517" t="s">
        <v>3</v>
      </c>
      <c r="V517" t="s">
        <v>220</v>
      </c>
      <c r="W517" s="5">
        <v>47.81</v>
      </c>
    </row>
    <row r="518" spans="1:23" ht="15" x14ac:dyDescent="0.2">
      <c r="A518" t="s">
        <v>1009</v>
      </c>
      <c r="B518" s="1">
        <f>45917</f>
        <v>45917</v>
      </c>
      <c r="C518" t="s">
        <v>0</v>
      </c>
      <c r="D518">
        <v>108108</v>
      </c>
      <c r="E518" s="2">
        <v>25004624</v>
      </c>
      <c r="F518" s="2">
        <v>1</v>
      </c>
      <c r="G518" t="s">
        <v>1434</v>
      </c>
      <c r="H518" t="s">
        <v>1116</v>
      </c>
      <c r="I518" t="s">
        <v>1871</v>
      </c>
      <c r="J518" t="s">
        <v>1323</v>
      </c>
      <c r="K518" s="3">
        <v>1</v>
      </c>
      <c r="L518" s="4">
        <v>22.9</v>
      </c>
      <c r="O518" t="s">
        <v>2</v>
      </c>
      <c r="P518" t="s">
        <v>720</v>
      </c>
      <c r="Q518" s="2">
        <v>0</v>
      </c>
      <c r="R518" s="5">
        <v>22.9</v>
      </c>
      <c r="S518" s="5">
        <v>0</v>
      </c>
      <c r="T518" s="2">
        <v>23</v>
      </c>
      <c r="U518" t="s">
        <v>3</v>
      </c>
      <c r="V518" t="s">
        <v>221</v>
      </c>
      <c r="W518" s="5">
        <v>19.239999999999998</v>
      </c>
    </row>
    <row r="519" spans="1:23" ht="15" x14ac:dyDescent="0.2">
      <c r="A519" t="s">
        <v>1009</v>
      </c>
      <c r="B519" s="1">
        <f>45917</f>
        <v>45917</v>
      </c>
      <c r="C519" t="s">
        <v>0</v>
      </c>
      <c r="D519">
        <v>108108</v>
      </c>
      <c r="E519" s="2">
        <v>25004625</v>
      </c>
      <c r="F519" s="2">
        <v>1</v>
      </c>
      <c r="G519" t="s">
        <v>1469</v>
      </c>
      <c r="H519" t="s">
        <v>1150</v>
      </c>
      <c r="I519" t="s">
        <v>1820</v>
      </c>
      <c r="J519" t="s">
        <v>1323</v>
      </c>
      <c r="K519" s="3">
        <v>1</v>
      </c>
      <c r="L519" s="4">
        <v>27.5</v>
      </c>
      <c r="O519" t="s">
        <v>2</v>
      </c>
      <c r="P519" t="s">
        <v>721</v>
      </c>
      <c r="Q519" s="2">
        <v>0</v>
      </c>
      <c r="R519" s="5">
        <v>27.5</v>
      </c>
      <c r="S519" s="5">
        <v>0</v>
      </c>
      <c r="T519" s="2">
        <v>28</v>
      </c>
      <c r="U519" t="s">
        <v>3</v>
      </c>
      <c r="V519" t="s">
        <v>172</v>
      </c>
      <c r="W519" s="5">
        <v>23.11</v>
      </c>
    </row>
    <row r="520" spans="1:23" ht="15" x14ac:dyDescent="0.2">
      <c r="A520" t="s">
        <v>1009</v>
      </c>
      <c r="B520" s="1">
        <f>45917</f>
        <v>45917</v>
      </c>
      <c r="C520" t="s">
        <v>0</v>
      </c>
      <c r="D520">
        <v>108108</v>
      </c>
      <c r="E520" s="2">
        <v>25004626</v>
      </c>
      <c r="F520" s="2">
        <v>1</v>
      </c>
      <c r="G520" t="s">
        <v>1571</v>
      </c>
      <c r="H520" t="s">
        <v>1249</v>
      </c>
      <c r="I520" t="s">
        <v>1872</v>
      </c>
      <c r="J520" t="s">
        <v>1323</v>
      </c>
      <c r="K520" s="3">
        <v>1</v>
      </c>
      <c r="L520" s="4">
        <v>27.9</v>
      </c>
      <c r="O520" t="s">
        <v>2</v>
      </c>
      <c r="P520" t="s">
        <v>722</v>
      </c>
      <c r="Q520" s="2">
        <v>0</v>
      </c>
      <c r="R520" s="5">
        <v>27.9</v>
      </c>
      <c r="S520" s="5">
        <v>0</v>
      </c>
      <c r="T520" s="2">
        <v>28</v>
      </c>
      <c r="U520" t="s">
        <v>3</v>
      </c>
      <c r="V520" t="s">
        <v>222</v>
      </c>
      <c r="W520" s="5">
        <v>23.45</v>
      </c>
    </row>
    <row r="521" spans="1:23" ht="15" x14ac:dyDescent="0.2">
      <c r="A521" t="s">
        <v>1009</v>
      </c>
      <c r="B521" s="1">
        <f>45917</f>
        <v>45917</v>
      </c>
      <c r="C521" t="s">
        <v>0</v>
      </c>
      <c r="D521">
        <v>108108</v>
      </c>
      <c r="E521" s="2">
        <v>25004627</v>
      </c>
      <c r="F521" s="2">
        <v>1</v>
      </c>
      <c r="G521" t="s">
        <v>1475</v>
      </c>
      <c r="H521" t="s">
        <v>1156</v>
      </c>
      <c r="I521" t="s">
        <v>1873</v>
      </c>
      <c r="J521" t="s">
        <v>1323</v>
      </c>
      <c r="K521" s="3">
        <v>1</v>
      </c>
      <c r="L521" s="4">
        <v>27.5</v>
      </c>
      <c r="O521" t="s">
        <v>2</v>
      </c>
      <c r="P521" t="s">
        <v>723</v>
      </c>
      <c r="Q521" s="2">
        <v>0</v>
      </c>
      <c r="R521" s="5">
        <v>27.5</v>
      </c>
      <c r="S521" s="5">
        <v>0</v>
      </c>
      <c r="T521" s="2">
        <v>28</v>
      </c>
      <c r="U521" t="s">
        <v>3</v>
      </c>
      <c r="V521" t="s">
        <v>223</v>
      </c>
      <c r="W521" s="5">
        <v>23.11</v>
      </c>
    </row>
    <row r="522" spans="1:23" ht="15" x14ac:dyDescent="0.2">
      <c r="A522" t="s">
        <v>1009</v>
      </c>
      <c r="B522" s="1">
        <f>45917</f>
        <v>45917</v>
      </c>
      <c r="C522" t="s">
        <v>0</v>
      </c>
      <c r="D522">
        <v>108108</v>
      </c>
      <c r="E522" s="2">
        <v>25004628</v>
      </c>
      <c r="F522" s="2">
        <v>1</v>
      </c>
      <c r="G522" t="s">
        <v>1351</v>
      </c>
      <c r="H522" t="s">
        <v>1033</v>
      </c>
      <c r="I522" t="s">
        <v>1874</v>
      </c>
      <c r="J522" t="s">
        <v>1323</v>
      </c>
      <c r="K522" s="3">
        <v>1</v>
      </c>
      <c r="L522" s="4">
        <v>21.9</v>
      </c>
      <c r="O522" t="s">
        <v>2</v>
      </c>
      <c r="P522" t="s">
        <v>724</v>
      </c>
      <c r="Q522" s="2">
        <v>0</v>
      </c>
      <c r="R522" s="5">
        <v>21.9</v>
      </c>
      <c r="S522" s="5">
        <v>0</v>
      </c>
      <c r="T522" s="2">
        <v>22</v>
      </c>
      <c r="U522" t="s">
        <v>3</v>
      </c>
      <c r="V522" t="s">
        <v>7</v>
      </c>
      <c r="W522" s="5">
        <v>18.399999999999999</v>
      </c>
    </row>
    <row r="523" spans="1:23" ht="15" x14ac:dyDescent="0.2">
      <c r="A523" t="s">
        <v>1009</v>
      </c>
      <c r="B523" s="1">
        <f>45917</f>
        <v>45917</v>
      </c>
      <c r="C523" t="s">
        <v>0</v>
      </c>
      <c r="D523">
        <v>108108</v>
      </c>
      <c r="E523" s="2">
        <v>25004629</v>
      </c>
      <c r="F523" s="2">
        <v>1</v>
      </c>
      <c r="G523" t="s">
        <v>1459</v>
      </c>
      <c r="H523" t="s">
        <v>1141</v>
      </c>
      <c r="I523" t="s">
        <v>1875</v>
      </c>
      <c r="J523" t="s">
        <v>1325</v>
      </c>
      <c r="K523" s="3">
        <v>1</v>
      </c>
      <c r="L523" s="4">
        <v>138</v>
      </c>
      <c r="O523" t="s">
        <v>2</v>
      </c>
      <c r="P523" t="s">
        <v>725</v>
      </c>
      <c r="Q523" s="2">
        <v>0</v>
      </c>
      <c r="R523" s="5">
        <v>138</v>
      </c>
      <c r="S523" s="5">
        <v>0</v>
      </c>
      <c r="T523" s="2">
        <v>138</v>
      </c>
      <c r="U523" t="s">
        <v>3</v>
      </c>
      <c r="V523" t="s">
        <v>224</v>
      </c>
      <c r="W523" s="5">
        <v>115.97</v>
      </c>
    </row>
    <row r="524" spans="1:23" ht="15" x14ac:dyDescent="0.2">
      <c r="A524" t="s">
        <v>1009</v>
      </c>
      <c r="B524" s="1">
        <f>45917</f>
        <v>45917</v>
      </c>
      <c r="C524" t="s">
        <v>0</v>
      </c>
      <c r="D524">
        <v>108108</v>
      </c>
      <c r="E524" s="2">
        <v>25004630</v>
      </c>
      <c r="F524" s="2">
        <v>1</v>
      </c>
      <c r="G524" t="s">
        <v>1442</v>
      </c>
      <c r="H524" t="s">
        <v>1124</v>
      </c>
      <c r="I524" t="s">
        <v>1876</v>
      </c>
      <c r="J524" t="s">
        <v>1323</v>
      </c>
      <c r="K524" s="3">
        <v>1</v>
      </c>
      <c r="L524" s="4">
        <v>22.9</v>
      </c>
      <c r="O524" t="s">
        <v>2</v>
      </c>
      <c r="P524" t="s">
        <v>726</v>
      </c>
      <c r="Q524" s="2">
        <v>0</v>
      </c>
      <c r="R524" s="5">
        <v>22.9</v>
      </c>
      <c r="S524" s="5">
        <v>0</v>
      </c>
      <c r="T524" s="2">
        <v>23</v>
      </c>
      <c r="U524" t="s">
        <v>3</v>
      </c>
      <c r="V524" t="s">
        <v>225</v>
      </c>
      <c r="W524" s="5">
        <v>19.239999999999998</v>
      </c>
    </row>
    <row r="525" spans="1:23" ht="15" x14ac:dyDescent="0.2">
      <c r="A525" t="s">
        <v>1009</v>
      </c>
      <c r="B525" s="1">
        <f>45917</f>
        <v>45917</v>
      </c>
      <c r="C525" t="s">
        <v>0</v>
      </c>
      <c r="D525">
        <v>108108</v>
      </c>
      <c r="E525" s="2">
        <v>25004631</v>
      </c>
      <c r="F525" s="2">
        <v>1</v>
      </c>
      <c r="G525" t="s">
        <v>1572</v>
      </c>
      <c r="H525" t="s">
        <v>1250</v>
      </c>
      <c r="I525" t="s">
        <v>1807</v>
      </c>
      <c r="J525" t="s">
        <v>1323</v>
      </c>
      <c r="K525" s="3">
        <v>1</v>
      </c>
      <c r="L525" s="4">
        <v>29.9</v>
      </c>
      <c r="O525" t="s">
        <v>2</v>
      </c>
      <c r="P525" t="s">
        <v>727</v>
      </c>
      <c r="Q525" s="2">
        <v>0</v>
      </c>
      <c r="R525" s="5">
        <v>29.9</v>
      </c>
      <c r="S525" s="5">
        <v>0</v>
      </c>
      <c r="T525" s="2">
        <v>30</v>
      </c>
      <c r="U525" t="s">
        <v>3</v>
      </c>
      <c r="V525" t="s">
        <v>159</v>
      </c>
      <c r="W525" s="5">
        <v>25.13</v>
      </c>
    </row>
    <row r="526" spans="1:23" ht="16" x14ac:dyDescent="0.25">
      <c r="A526" t="s">
        <v>1009</v>
      </c>
      <c r="B526" s="1">
        <f>45917</f>
        <v>45917</v>
      </c>
      <c r="C526" t="s">
        <v>0</v>
      </c>
      <c r="D526">
        <v>108108</v>
      </c>
      <c r="E526" s="2">
        <v>25004632</v>
      </c>
      <c r="F526" s="2">
        <v>1</v>
      </c>
      <c r="G526" t="s">
        <v>1536</v>
      </c>
      <c r="H526" t="s">
        <v>1215</v>
      </c>
      <c r="I526" t="s">
        <v>1877</v>
      </c>
      <c r="J526" t="s">
        <v>1325</v>
      </c>
      <c r="K526" s="3">
        <v>1</v>
      </c>
      <c r="L526" s="4">
        <v>22.9</v>
      </c>
      <c r="O526" t="s">
        <v>2</v>
      </c>
      <c r="P526" t="s">
        <v>728</v>
      </c>
      <c r="Q526" s="2">
        <v>0</v>
      </c>
      <c r="R526" s="5">
        <v>22.9</v>
      </c>
      <c r="S526" s="5">
        <v>0</v>
      </c>
      <c r="T526" s="2">
        <v>23</v>
      </c>
      <c r="U526" t="s">
        <v>3</v>
      </c>
      <c r="V526" s="6" t="s">
        <v>226</v>
      </c>
      <c r="W526" s="5">
        <v>19.239999999999998</v>
      </c>
    </row>
    <row r="527" spans="1:23" ht="15" x14ac:dyDescent="0.2">
      <c r="A527" t="s">
        <v>1009</v>
      </c>
      <c r="B527" s="1">
        <f>45917</f>
        <v>45917</v>
      </c>
      <c r="C527" t="s">
        <v>0</v>
      </c>
      <c r="D527">
        <v>108108</v>
      </c>
      <c r="E527" s="2">
        <v>25004633</v>
      </c>
      <c r="F527" s="2">
        <v>1</v>
      </c>
      <c r="G527" t="s">
        <v>1431</v>
      </c>
      <c r="H527" t="s">
        <v>1113</v>
      </c>
      <c r="I527" t="s">
        <v>1878</v>
      </c>
      <c r="J527" t="s">
        <v>1325</v>
      </c>
      <c r="K527" s="3">
        <v>1</v>
      </c>
      <c r="L527" s="4">
        <v>22.9</v>
      </c>
      <c r="O527" t="s">
        <v>2</v>
      </c>
      <c r="P527" t="s">
        <v>729</v>
      </c>
      <c r="Q527" s="2">
        <v>0</v>
      </c>
      <c r="R527" s="5">
        <v>22.9</v>
      </c>
      <c r="S527" s="5">
        <v>0</v>
      </c>
      <c r="T527" s="2">
        <v>23</v>
      </c>
      <c r="U527" t="s">
        <v>3</v>
      </c>
      <c r="V527" t="s">
        <v>121</v>
      </c>
      <c r="W527" s="5">
        <v>25.12</v>
      </c>
    </row>
    <row r="528" spans="1:23" ht="15" x14ac:dyDescent="0.2">
      <c r="A528" t="s">
        <v>1009</v>
      </c>
      <c r="B528" s="1">
        <f>45917</f>
        <v>45917</v>
      </c>
      <c r="C528" t="s">
        <v>0</v>
      </c>
      <c r="D528">
        <v>108108</v>
      </c>
      <c r="E528" s="2">
        <v>25004633</v>
      </c>
      <c r="F528" s="2">
        <v>2</v>
      </c>
      <c r="G528" t="s">
        <v>1467</v>
      </c>
      <c r="H528" t="s">
        <v>1148</v>
      </c>
      <c r="I528" t="s">
        <v>1878</v>
      </c>
      <c r="J528" t="s">
        <v>1325</v>
      </c>
      <c r="K528" s="3">
        <v>1</v>
      </c>
      <c r="L528" s="4">
        <v>7</v>
      </c>
      <c r="O528" t="s">
        <v>2</v>
      </c>
      <c r="P528" t="s">
        <v>729</v>
      </c>
      <c r="Q528" s="2">
        <v>0</v>
      </c>
      <c r="R528" s="5">
        <v>7</v>
      </c>
      <c r="S528" s="5">
        <v>0</v>
      </c>
      <c r="T528" s="2">
        <v>7</v>
      </c>
      <c r="U528" t="s">
        <v>3</v>
      </c>
      <c r="V528" t="s">
        <v>121</v>
      </c>
      <c r="W528" s="5">
        <v>25.12</v>
      </c>
    </row>
    <row r="529" spans="1:23" ht="15" x14ac:dyDescent="0.2">
      <c r="A529" t="s">
        <v>1009</v>
      </c>
      <c r="B529" s="1">
        <f>45917</f>
        <v>45917</v>
      </c>
      <c r="C529" t="s">
        <v>0</v>
      </c>
      <c r="D529">
        <v>108108</v>
      </c>
      <c r="E529" s="2">
        <v>25004634</v>
      </c>
      <c r="F529" s="2">
        <v>1</v>
      </c>
      <c r="G529" t="s">
        <v>1573</v>
      </c>
      <c r="H529" t="s">
        <v>1251</v>
      </c>
      <c r="I529" t="s">
        <v>1647</v>
      </c>
      <c r="J529" t="s">
        <v>1325</v>
      </c>
      <c r="K529" s="3">
        <v>1</v>
      </c>
      <c r="L529" s="4">
        <v>14.45</v>
      </c>
      <c r="O529" t="s">
        <v>2</v>
      </c>
      <c r="P529" t="s">
        <v>730</v>
      </c>
      <c r="Q529" s="2">
        <v>50</v>
      </c>
      <c r="R529" s="5">
        <v>28.9</v>
      </c>
      <c r="S529" s="5">
        <v>14.45</v>
      </c>
      <c r="T529" s="2">
        <v>14</v>
      </c>
      <c r="U529" t="s">
        <v>3</v>
      </c>
      <c r="V529" t="s">
        <v>1322</v>
      </c>
      <c r="W529" s="5">
        <v>12.14</v>
      </c>
    </row>
    <row r="530" spans="1:23" ht="15" x14ac:dyDescent="0.2">
      <c r="A530" t="s">
        <v>1009</v>
      </c>
      <c r="B530" s="1">
        <f>45917</f>
        <v>45917</v>
      </c>
      <c r="C530" t="s">
        <v>0</v>
      </c>
      <c r="D530">
        <v>108108</v>
      </c>
      <c r="E530" s="2">
        <v>25004635</v>
      </c>
      <c r="F530" s="2">
        <v>1</v>
      </c>
      <c r="G530" t="s">
        <v>1574</v>
      </c>
      <c r="H530" t="s">
        <v>1252</v>
      </c>
      <c r="I530" t="s">
        <v>1647</v>
      </c>
      <c r="J530" t="s">
        <v>1323</v>
      </c>
      <c r="K530" s="3">
        <v>1</v>
      </c>
      <c r="L530" s="4">
        <v>17.899999999999999</v>
      </c>
      <c r="O530" t="s">
        <v>2</v>
      </c>
      <c r="P530" t="s">
        <v>731</v>
      </c>
      <c r="Q530" s="2">
        <v>0</v>
      </c>
      <c r="R530" s="5">
        <v>17.899999999999999</v>
      </c>
      <c r="S530" s="5">
        <v>0</v>
      </c>
      <c r="T530" s="2">
        <v>18</v>
      </c>
      <c r="U530" t="s">
        <v>3</v>
      </c>
      <c r="V530" t="s">
        <v>1322</v>
      </c>
      <c r="W530" s="5">
        <v>15.04</v>
      </c>
    </row>
    <row r="531" spans="1:23" ht="15" x14ac:dyDescent="0.2">
      <c r="A531" t="s">
        <v>1009</v>
      </c>
      <c r="B531" s="1">
        <f>45917</f>
        <v>45917</v>
      </c>
      <c r="C531" t="s">
        <v>0</v>
      </c>
      <c r="D531">
        <v>108108</v>
      </c>
      <c r="E531" s="2">
        <v>25004636</v>
      </c>
      <c r="F531" s="2">
        <v>1</v>
      </c>
      <c r="G531" t="s">
        <v>1531</v>
      </c>
      <c r="H531" t="s">
        <v>1211</v>
      </c>
      <c r="I531" t="s">
        <v>1879</v>
      </c>
      <c r="J531" t="s">
        <v>1325</v>
      </c>
      <c r="K531" s="3">
        <v>1</v>
      </c>
      <c r="L531" s="4">
        <v>27.9</v>
      </c>
      <c r="O531" t="s">
        <v>2</v>
      </c>
      <c r="P531" t="s">
        <v>732</v>
      </c>
      <c r="Q531" s="2">
        <v>0</v>
      </c>
      <c r="R531" s="5">
        <v>27.9</v>
      </c>
      <c r="S531" s="5">
        <v>0</v>
      </c>
      <c r="T531" s="2">
        <v>28</v>
      </c>
      <c r="U531" t="s">
        <v>3</v>
      </c>
      <c r="V531" t="s">
        <v>227</v>
      </c>
      <c r="W531" s="5">
        <v>23.45</v>
      </c>
    </row>
    <row r="532" spans="1:23" ht="15" x14ac:dyDescent="0.2">
      <c r="A532" t="s">
        <v>1009</v>
      </c>
      <c r="B532" s="1">
        <f>45917</f>
        <v>45917</v>
      </c>
      <c r="C532" t="s">
        <v>0</v>
      </c>
      <c r="D532">
        <v>108108</v>
      </c>
      <c r="E532" s="2">
        <v>25004637</v>
      </c>
      <c r="F532" s="2">
        <v>1</v>
      </c>
      <c r="G532" t="s">
        <v>1646</v>
      </c>
      <c r="H532" t="s">
        <v>361</v>
      </c>
      <c r="I532" t="s">
        <v>1647</v>
      </c>
      <c r="J532" t="s">
        <v>1325</v>
      </c>
      <c r="K532" s="3">
        <v>1</v>
      </c>
      <c r="L532" s="4">
        <v>-450</v>
      </c>
      <c r="Q532" s="2">
        <v>0</v>
      </c>
      <c r="R532" s="5">
        <v>-450</v>
      </c>
      <c r="S532" s="5">
        <v>0</v>
      </c>
      <c r="T532" s="2">
        <v>-450</v>
      </c>
      <c r="U532" t="s">
        <v>1</v>
      </c>
      <c r="V532" t="s">
        <v>361</v>
      </c>
      <c r="W532" s="5">
        <v>-450</v>
      </c>
    </row>
    <row r="533" spans="1:23" ht="15" x14ac:dyDescent="0.2">
      <c r="A533" t="s">
        <v>1009</v>
      </c>
      <c r="B533" s="1">
        <f>45918</f>
        <v>45918</v>
      </c>
      <c r="C533" t="s">
        <v>0</v>
      </c>
      <c r="D533">
        <v>108108</v>
      </c>
      <c r="E533" s="2">
        <v>25004638</v>
      </c>
      <c r="F533" s="2">
        <v>1</v>
      </c>
      <c r="G533" t="s">
        <v>1646</v>
      </c>
      <c r="H533" t="s">
        <v>361</v>
      </c>
      <c r="I533" t="s">
        <v>1647</v>
      </c>
      <c r="J533" t="s">
        <v>1326</v>
      </c>
      <c r="K533" s="3">
        <v>1</v>
      </c>
      <c r="L533" s="4">
        <v>450</v>
      </c>
      <c r="Q533" s="2">
        <v>0</v>
      </c>
      <c r="R533" s="5">
        <v>450</v>
      </c>
      <c r="S533" s="5">
        <v>0</v>
      </c>
      <c r="T533" s="2">
        <v>450</v>
      </c>
      <c r="U533" t="s">
        <v>1</v>
      </c>
      <c r="V533" t="s">
        <v>361</v>
      </c>
      <c r="W533" s="5">
        <v>450</v>
      </c>
    </row>
    <row r="534" spans="1:23" ht="15" x14ac:dyDescent="0.2">
      <c r="A534" t="s">
        <v>1009</v>
      </c>
      <c r="B534" s="1">
        <f>45918</f>
        <v>45918</v>
      </c>
      <c r="C534" t="s">
        <v>0</v>
      </c>
      <c r="D534">
        <v>108108</v>
      </c>
      <c r="E534" s="2">
        <v>25004639</v>
      </c>
      <c r="F534" s="2">
        <v>1</v>
      </c>
      <c r="G534" t="s">
        <v>1342</v>
      </c>
      <c r="H534" t="s">
        <v>1024</v>
      </c>
      <c r="I534" t="s">
        <v>1647</v>
      </c>
      <c r="J534" t="s">
        <v>1326</v>
      </c>
      <c r="K534" s="3">
        <v>1</v>
      </c>
      <c r="L534" s="4">
        <v>21.9</v>
      </c>
      <c r="O534" t="s">
        <v>2</v>
      </c>
      <c r="P534" t="s">
        <v>733</v>
      </c>
      <c r="Q534" s="2">
        <v>0</v>
      </c>
      <c r="R534" s="5">
        <v>21.9</v>
      </c>
      <c r="S534" s="5">
        <v>0</v>
      </c>
      <c r="T534" s="2">
        <v>22</v>
      </c>
      <c r="U534" t="s">
        <v>3</v>
      </c>
      <c r="V534" t="s">
        <v>1322</v>
      </c>
      <c r="W534" s="5">
        <v>18.399999999999999</v>
      </c>
    </row>
    <row r="535" spans="1:23" ht="15" x14ac:dyDescent="0.2">
      <c r="A535" t="s">
        <v>1009</v>
      </c>
      <c r="B535" s="1">
        <f>45918</f>
        <v>45918</v>
      </c>
      <c r="C535" t="s">
        <v>0</v>
      </c>
      <c r="D535">
        <v>108108</v>
      </c>
      <c r="E535" s="2">
        <v>25004640</v>
      </c>
      <c r="F535" s="2">
        <v>1</v>
      </c>
      <c r="G535" t="s">
        <v>1352</v>
      </c>
      <c r="H535" t="s">
        <v>1034</v>
      </c>
      <c r="I535" t="s">
        <v>1647</v>
      </c>
      <c r="J535" t="s">
        <v>1326</v>
      </c>
      <c r="K535" s="3">
        <v>1</v>
      </c>
      <c r="L535" s="4">
        <v>9.9</v>
      </c>
      <c r="O535" t="s">
        <v>2</v>
      </c>
      <c r="P535" t="s">
        <v>734</v>
      </c>
      <c r="Q535" s="2">
        <v>0</v>
      </c>
      <c r="R535" s="5">
        <v>9.9</v>
      </c>
      <c r="S535" s="5">
        <v>0</v>
      </c>
      <c r="T535" s="2">
        <v>10</v>
      </c>
      <c r="U535" t="s">
        <v>3</v>
      </c>
      <c r="V535" t="s">
        <v>1322</v>
      </c>
      <c r="W535" s="5">
        <v>8.32</v>
      </c>
    </row>
    <row r="536" spans="1:23" ht="15" x14ac:dyDescent="0.2">
      <c r="A536" t="s">
        <v>1009</v>
      </c>
      <c r="B536" s="1">
        <f>45918</f>
        <v>45918</v>
      </c>
      <c r="C536" t="s">
        <v>0</v>
      </c>
      <c r="D536">
        <v>108108</v>
      </c>
      <c r="E536" s="2">
        <v>25004641</v>
      </c>
      <c r="F536" s="2">
        <v>1</v>
      </c>
      <c r="G536" t="s">
        <v>1389</v>
      </c>
      <c r="H536" t="s">
        <v>1071</v>
      </c>
      <c r="I536" t="s">
        <v>1880</v>
      </c>
      <c r="J536" t="s">
        <v>1326</v>
      </c>
      <c r="K536" s="3">
        <v>8</v>
      </c>
      <c r="L536" s="4">
        <v>143.19999999999999</v>
      </c>
      <c r="O536" t="s">
        <v>2</v>
      </c>
      <c r="P536" t="s">
        <v>735</v>
      </c>
      <c r="Q536" s="2">
        <v>0</v>
      </c>
      <c r="R536" s="5">
        <v>17.899999999999999</v>
      </c>
      <c r="S536" s="5">
        <v>0</v>
      </c>
      <c r="T536" s="2">
        <v>18</v>
      </c>
      <c r="U536" t="s">
        <v>3</v>
      </c>
      <c r="V536" t="s">
        <v>228</v>
      </c>
      <c r="W536" s="5">
        <v>176.56</v>
      </c>
    </row>
    <row r="537" spans="1:23" ht="15" x14ac:dyDescent="0.2">
      <c r="A537" t="s">
        <v>1009</v>
      </c>
      <c r="B537" s="1">
        <f>45918</f>
        <v>45918</v>
      </c>
      <c r="C537" t="s">
        <v>0</v>
      </c>
      <c r="D537">
        <v>108108</v>
      </c>
      <c r="E537" s="2">
        <v>25004641</v>
      </c>
      <c r="F537" s="2">
        <v>2</v>
      </c>
      <c r="G537" t="s">
        <v>1332</v>
      </c>
      <c r="H537" t="s">
        <v>362</v>
      </c>
      <c r="I537" t="s">
        <v>1880</v>
      </c>
      <c r="J537" t="s">
        <v>1326</v>
      </c>
      <c r="K537" s="3">
        <v>8</v>
      </c>
      <c r="L537" s="4">
        <v>40</v>
      </c>
      <c r="O537" t="s">
        <v>2</v>
      </c>
      <c r="P537" t="s">
        <v>735</v>
      </c>
      <c r="Q537" s="2">
        <v>0</v>
      </c>
      <c r="R537" s="5">
        <v>5</v>
      </c>
      <c r="S537" s="5">
        <v>0</v>
      </c>
      <c r="T537" s="2">
        <v>5</v>
      </c>
      <c r="U537" t="s">
        <v>3</v>
      </c>
      <c r="V537" t="s">
        <v>228</v>
      </c>
      <c r="W537" s="5">
        <v>176.56</v>
      </c>
    </row>
    <row r="538" spans="1:23" ht="15" x14ac:dyDescent="0.2">
      <c r="A538" t="s">
        <v>1009</v>
      </c>
      <c r="B538" s="1">
        <f>45918</f>
        <v>45918</v>
      </c>
      <c r="C538" t="s">
        <v>0</v>
      </c>
      <c r="D538">
        <v>108108</v>
      </c>
      <c r="E538" s="2">
        <v>25004641</v>
      </c>
      <c r="F538" s="2">
        <v>3</v>
      </c>
      <c r="G538" t="s">
        <v>1468</v>
      </c>
      <c r="H538" t="s">
        <v>1149</v>
      </c>
      <c r="I538" t="s">
        <v>1880</v>
      </c>
      <c r="J538" t="s">
        <v>1326</v>
      </c>
      <c r="K538" s="3">
        <v>1</v>
      </c>
      <c r="L538" s="4">
        <v>26.9</v>
      </c>
      <c r="O538" t="s">
        <v>2</v>
      </c>
      <c r="P538" t="s">
        <v>735</v>
      </c>
      <c r="Q538" s="2">
        <v>0</v>
      </c>
      <c r="R538" s="5">
        <v>26.9</v>
      </c>
      <c r="S538" s="5">
        <v>0</v>
      </c>
      <c r="T538" s="2">
        <v>27</v>
      </c>
      <c r="U538" t="s">
        <v>3</v>
      </c>
      <c r="V538" t="s">
        <v>228</v>
      </c>
      <c r="W538" s="5">
        <v>176.56</v>
      </c>
    </row>
    <row r="539" spans="1:23" ht="15" x14ac:dyDescent="0.2">
      <c r="A539" t="s">
        <v>1009</v>
      </c>
      <c r="B539" s="1">
        <f>45918</f>
        <v>45918</v>
      </c>
      <c r="C539" t="s">
        <v>0</v>
      </c>
      <c r="D539">
        <v>108108</v>
      </c>
      <c r="E539" s="2">
        <v>25004642</v>
      </c>
      <c r="F539" s="2">
        <v>1</v>
      </c>
      <c r="G539" t="s">
        <v>1575</v>
      </c>
      <c r="H539" t="s">
        <v>1253</v>
      </c>
      <c r="I539" t="s">
        <v>1881</v>
      </c>
      <c r="J539" t="s">
        <v>1326</v>
      </c>
      <c r="K539" s="3">
        <v>1</v>
      </c>
      <c r="L539" s="4">
        <v>23.9</v>
      </c>
      <c r="O539" t="s">
        <v>2</v>
      </c>
      <c r="P539" t="s">
        <v>736</v>
      </c>
      <c r="Q539" s="2">
        <v>0</v>
      </c>
      <c r="R539" s="5">
        <v>23.9</v>
      </c>
      <c r="S539" s="5">
        <v>0</v>
      </c>
      <c r="T539" s="2">
        <v>24</v>
      </c>
      <c r="U539" t="s">
        <v>3</v>
      </c>
      <c r="V539" t="s">
        <v>229</v>
      </c>
      <c r="W539" s="5">
        <v>20.079999999999998</v>
      </c>
    </row>
    <row r="540" spans="1:23" ht="15" x14ac:dyDescent="0.2">
      <c r="A540" t="s">
        <v>1009</v>
      </c>
      <c r="B540" s="1">
        <f>45918</f>
        <v>45918</v>
      </c>
      <c r="C540" t="s">
        <v>0</v>
      </c>
      <c r="D540">
        <v>108108</v>
      </c>
      <c r="E540" s="2">
        <v>25004643</v>
      </c>
      <c r="F540" s="2">
        <v>1</v>
      </c>
      <c r="G540" t="s">
        <v>1402</v>
      </c>
      <c r="H540" t="s">
        <v>1084</v>
      </c>
      <c r="I540" t="s">
        <v>1882</v>
      </c>
      <c r="J540" t="s">
        <v>1326</v>
      </c>
      <c r="K540" s="3">
        <v>1</v>
      </c>
      <c r="L540" s="4">
        <v>24.9</v>
      </c>
      <c r="O540" t="s">
        <v>2</v>
      </c>
      <c r="P540" t="s">
        <v>737</v>
      </c>
      <c r="Q540" s="2">
        <v>0</v>
      </c>
      <c r="R540" s="5">
        <v>24.9</v>
      </c>
      <c r="S540" s="5">
        <v>0</v>
      </c>
      <c r="T540" s="2">
        <v>25</v>
      </c>
      <c r="U540" t="s">
        <v>3</v>
      </c>
      <c r="V540" t="s">
        <v>230</v>
      </c>
      <c r="W540" s="5">
        <v>20.92</v>
      </c>
    </row>
    <row r="541" spans="1:23" ht="15" x14ac:dyDescent="0.2">
      <c r="A541" t="s">
        <v>1009</v>
      </c>
      <c r="B541" s="1">
        <f>45918</f>
        <v>45918</v>
      </c>
      <c r="C541" t="s">
        <v>0</v>
      </c>
      <c r="D541">
        <v>108108</v>
      </c>
      <c r="E541" s="2">
        <v>25004644</v>
      </c>
      <c r="F541" s="2">
        <v>1</v>
      </c>
      <c r="G541" t="s">
        <v>1331</v>
      </c>
      <c r="H541" t="s">
        <v>1014</v>
      </c>
      <c r="I541" t="s">
        <v>1883</v>
      </c>
      <c r="J541" t="s">
        <v>1323</v>
      </c>
      <c r="K541" s="3">
        <v>1</v>
      </c>
      <c r="L541" s="4">
        <v>21.9</v>
      </c>
      <c r="O541" t="s">
        <v>2</v>
      </c>
      <c r="P541" t="s">
        <v>738</v>
      </c>
      <c r="Q541" s="2">
        <v>0</v>
      </c>
      <c r="R541" s="5">
        <v>21.9</v>
      </c>
      <c r="S541" s="5">
        <v>0</v>
      </c>
      <c r="T541" s="2">
        <v>22</v>
      </c>
      <c r="U541" t="s">
        <v>3</v>
      </c>
      <c r="V541" t="s">
        <v>231</v>
      </c>
      <c r="W541" s="5">
        <v>63.69</v>
      </c>
    </row>
    <row r="542" spans="1:23" ht="15" x14ac:dyDescent="0.2">
      <c r="A542" t="s">
        <v>1009</v>
      </c>
      <c r="B542" s="1">
        <f>45918</f>
        <v>45918</v>
      </c>
      <c r="C542" t="s">
        <v>0</v>
      </c>
      <c r="D542">
        <v>108108</v>
      </c>
      <c r="E542" s="2">
        <v>25004644</v>
      </c>
      <c r="F542" s="2">
        <v>2</v>
      </c>
      <c r="G542" t="s">
        <v>1429</v>
      </c>
      <c r="H542" t="s">
        <v>1111</v>
      </c>
      <c r="I542" t="s">
        <v>1883</v>
      </c>
      <c r="J542" t="s">
        <v>1323</v>
      </c>
      <c r="K542" s="3">
        <v>1</v>
      </c>
      <c r="L542" s="4">
        <v>21.9</v>
      </c>
      <c r="O542" t="s">
        <v>2</v>
      </c>
      <c r="P542" t="s">
        <v>738</v>
      </c>
      <c r="Q542" s="2">
        <v>0</v>
      </c>
      <c r="R542" s="5">
        <v>21.9</v>
      </c>
      <c r="S542" s="5">
        <v>0</v>
      </c>
      <c r="T542" s="2">
        <v>22</v>
      </c>
      <c r="U542" t="s">
        <v>3</v>
      </c>
      <c r="V542" t="s">
        <v>231</v>
      </c>
      <c r="W542" s="5">
        <v>63.69</v>
      </c>
    </row>
    <row r="543" spans="1:23" ht="15" x14ac:dyDescent="0.2">
      <c r="A543" t="s">
        <v>1009</v>
      </c>
      <c r="B543" s="1">
        <f>45918</f>
        <v>45918</v>
      </c>
      <c r="C543" t="s">
        <v>0</v>
      </c>
      <c r="D543">
        <v>108108</v>
      </c>
      <c r="E543" s="2">
        <v>25004644</v>
      </c>
      <c r="F543" s="2">
        <v>3</v>
      </c>
      <c r="G543" t="s">
        <v>1363</v>
      </c>
      <c r="H543" t="s">
        <v>1045</v>
      </c>
      <c r="I543" t="s">
        <v>1883</v>
      </c>
      <c r="J543" t="s">
        <v>1323</v>
      </c>
      <c r="K543" s="3">
        <v>1</v>
      </c>
      <c r="L543" s="4">
        <v>32</v>
      </c>
      <c r="O543" t="s">
        <v>2</v>
      </c>
      <c r="P543" t="s">
        <v>738</v>
      </c>
      <c r="Q543" s="2">
        <v>0</v>
      </c>
      <c r="R543" s="5">
        <v>32</v>
      </c>
      <c r="S543" s="5">
        <v>0</v>
      </c>
      <c r="T543" s="2">
        <v>32</v>
      </c>
      <c r="U543" t="s">
        <v>3</v>
      </c>
      <c r="V543" t="s">
        <v>231</v>
      </c>
      <c r="W543" s="5">
        <v>63.69</v>
      </c>
    </row>
    <row r="544" spans="1:23" ht="15" x14ac:dyDescent="0.2">
      <c r="A544" t="s">
        <v>1009</v>
      </c>
      <c r="B544" s="1">
        <f>45918</f>
        <v>45918</v>
      </c>
      <c r="C544" t="s">
        <v>0</v>
      </c>
      <c r="D544">
        <v>108108</v>
      </c>
      <c r="E544" s="2">
        <v>25004645</v>
      </c>
      <c r="F544" s="2">
        <v>1</v>
      </c>
      <c r="G544" t="s">
        <v>1576</v>
      </c>
      <c r="H544" t="s">
        <v>1254</v>
      </c>
      <c r="I544" t="s">
        <v>1856</v>
      </c>
      <c r="J544" t="s">
        <v>1323</v>
      </c>
      <c r="K544" s="3">
        <v>1</v>
      </c>
      <c r="L544" s="4">
        <v>32.9</v>
      </c>
      <c r="O544" t="s">
        <v>2</v>
      </c>
      <c r="P544" t="s">
        <v>739</v>
      </c>
      <c r="Q544" s="2">
        <v>0</v>
      </c>
      <c r="R544" s="5">
        <v>32.9</v>
      </c>
      <c r="S544" s="5">
        <v>0</v>
      </c>
      <c r="T544" s="2">
        <v>33</v>
      </c>
      <c r="U544" t="s">
        <v>3</v>
      </c>
      <c r="V544" t="s">
        <v>206</v>
      </c>
      <c r="W544" s="5">
        <v>27.65</v>
      </c>
    </row>
    <row r="545" spans="1:23" ht="15" x14ac:dyDescent="0.2">
      <c r="A545" t="s">
        <v>1009</v>
      </c>
      <c r="B545" s="1">
        <f>45918</f>
        <v>45918</v>
      </c>
      <c r="C545" t="s">
        <v>0</v>
      </c>
      <c r="D545">
        <v>108108</v>
      </c>
      <c r="E545" s="2">
        <v>25004646</v>
      </c>
      <c r="F545" s="2">
        <v>1</v>
      </c>
      <c r="G545" t="s">
        <v>1463</v>
      </c>
      <c r="H545" t="s">
        <v>1144</v>
      </c>
      <c r="I545" t="s">
        <v>1884</v>
      </c>
      <c r="J545" t="s">
        <v>1323</v>
      </c>
      <c r="K545" s="3">
        <v>1</v>
      </c>
      <c r="L545" s="4">
        <v>22.9</v>
      </c>
      <c r="O545" t="s">
        <v>2</v>
      </c>
      <c r="P545" t="s">
        <v>740</v>
      </c>
      <c r="Q545" s="2">
        <v>0</v>
      </c>
      <c r="R545" s="5">
        <v>22.9</v>
      </c>
      <c r="S545" s="5">
        <v>0</v>
      </c>
      <c r="T545" s="2">
        <v>23</v>
      </c>
      <c r="U545" t="s">
        <v>3</v>
      </c>
      <c r="V545" t="s">
        <v>232</v>
      </c>
      <c r="W545" s="5">
        <v>19.239999999999998</v>
      </c>
    </row>
    <row r="546" spans="1:23" ht="15" x14ac:dyDescent="0.2">
      <c r="A546" t="s">
        <v>1009</v>
      </c>
      <c r="B546" s="1">
        <f>45918</f>
        <v>45918</v>
      </c>
      <c r="C546" t="s">
        <v>0</v>
      </c>
      <c r="D546">
        <v>108108</v>
      </c>
      <c r="E546" s="2">
        <v>25004647</v>
      </c>
      <c r="F546" s="2">
        <v>1</v>
      </c>
      <c r="G546" t="s">
        <v>1460</v>
      </c>
      <c r="H546" t="s">
        <v>1142</v>
      </c>
      <c r="I546" t="s">
        <v>1885</v>
      </c>
      <c r="J546" t="s">
        <v>1323</v>
      </c>
      <c r="K546" s="3">
        <v>1</v>
      </c>
      <c r="L546" s="4">
        <v>23.9</v>
      </c>
      <c r="O546" t="s">
        <v>2</v>
      </c>
      <c r="P546" t="s">
        <v>741</v>
      </c>
      <c r="Q546" s="2">
        <v>0</v>
      </c>
      <c r="R546" s="5">
        <v>23.9</v>
      </c>
      <c r="S546" s="5">
        <v>0</v>
      </c>
      <c r="T546" s="2">
        <v>24</v>
      </c>
      <c r="U546" t="s">
        <v>3</v>
      </c>
      <c r="V546" t="s">
        <v>233</v>
      </c>
      <c r="W546" s="5">
        <v>57.9</v>
      </c>
    </row>
    <row r="547" spans="1:23" ht="15" x14ac:dyDescent="0.2">
      <c r="A547" t="s">
        <v>1009</v>
      </c>
      <c r="B547" s="1">
        <f>45918</f>
        <v>45918</v>
      </c>
      <c r="C547" t="s">
        <v>0</v>
      </c>
      <c r="D547">
        <v>108108</v>
      </c>
      <c r="E547" s="2">
        <v>25004647</v>
      </c>
      <c r="F547" s="2">
        <v>2</v>
      </c>
      <c r="G547" t="s">
        <v>1453</v>
      </c>
      <c r="H547" t="s">
        <v>1135</v>
      </c>
      <c r="I547" t="s">
        <v>1885</v>
      </c>
      <c r="J547" t="s">
        <v>1323</v>
      </c>
      <c r="K547" s="3">
        <v>1</v>
      </c>
      <c r="L547" s="4">
        <v>45</v>
      </c>
      <c r="O547" t="s">
        <v>2</v>
      </c>
      <c r="P547" t="s">
        <v>741</v>
      </c>
      <c r="Q547" s="2">
        <v>0</v>
      </c>
      <c r="R547" s="5">
        <v>45</v>
      </c>
      <c r="S547" s="5">
        <v>0</v>
      </c>
      <c r="T547" s="2">
        <v>45</v>
      </c>
      <c r="U547" t="s">
        <v>3</v>
      </c>
      <c r="V547" t="s">
        <v>233</v>
      </c>
      <c r="W547" s="5">
        <v>57.9</v>
      </c>
    </row>
    <row r="548" spans="1:23" ht="15" x14ac:dyDescent="0.2">
      <c r="A548" t="s">
        <v>1009</v>
      </c>
      <c r="B548" s="1">
        <f>45918</f>
        <v>45918</v>
      </c>
      <c r="C548" t="s">
        <v>0</v>
      </c>
      <c r="D548">
        <v>108108</v>
      </c>
      <c r="E548" s="2">
        <v>25004648</v>
      </c>
      <c r="F548" s="2">
        <v>1</v>
      </c>
      <c r="G548" t="s">
        <v>1577</v>
      </c>
      <c r="H548" t="s">
        <v>1255</v>
      </c>
      <c r="I548" t="s">
        <v>1886</v>
      </c>
      <c r="J548" t="s">
        <v>1326</v>
      </c>
      <c r="K548" s="3">
        <v>1</v>
      </c>
      <c r="L548" s="4">
        <v>45</v>
      </c>
      <c r="O548" t="s">
        <v>2</v>
      </c>
      <c r="P548" t="s">
        <v>742</v>
      </c>
      <c r="Q548" s="2">
        <v>0</v>
      </c>
      <c r="R548" s="5">
        <v>45</v>
      </c>
      <c r="S548" s="5">
        <v>0</v>
      </c>
      <c r="T548" s="2">
        <v>45</v>
      </c>
      <c r="U548" t="s">
        <v>3</v>
      </c>
      <c r="V548" t="s">
        <v>234</v>
      </c>
      <c r="W548" s="5">
        <v>37.82</v>
      </c>
    </row>
    <row r="549" spans="1:23" ht="15" x14ac:dyDescent="0.2">
      <c r="A549" t="s">
        <v>1009</v>
      </c>
      <c r="B549" s="1">
        <f>45918</f>
        <v>45918</v>
      </c>
      <c r="C549" t="s">
        <v>0</v>
      </c>
      <c r="D549">
        <v>108108</v>
      </c>
      <c r="E549" s="2">
        <v>25004649</v>
      </c>
      <c r="F549" s="2">
        <v>1</v>
      </c>
      <c r="G549" t="s">
        <v>1478</v>
      </c>
      <c r="H549" t="s">
        <v>1159</v>
      </c>
      <c r="I549" t="s">
        <v>1865</v>
      </c>
      <c r="J549" t="s">
        <v>1323</v>
      </c>
      <c r="K549" s="3">
        <v>1</v>
      </c>
      <c r="L549" s="4">
        <v>27.9</v>
      </c>
      <c r="O549" t="s">
        <v>2</v>
      </c>
      <c r="P549" t="s">
        <v>743</v>
      </c>
      <c r="Q549" s="2">
        <v>0</v>
      </c>
      <c r="R549" s="5">
        <v>27.9</v>
      </c>
      <c r="S549" s="5">
        <v>0</v>
      </c>
      <c r="T549" s="2">
        <v>28</v>
      </c>
      <c r="U549" t="s">
        <v>3</v>
      </c>
      <c r="V549" t="s">
        <v>215</v>
      </c>
      <c r="W549" s="5">
        <v>23.45</v>
      </c>
    </row>
    <row r="550" spans="1:23" ht="15" x14ac:dyDescent="0.2">
      <c r="A550" t="s">
        <v>1009</v>
      </c>
      <c r="B550" s="1">
        <f>45918</f>
        <v>45918</v>
      </c>
      <c r="C550" t="s">
        <v>0</v>
      </c>
      <c r="D550">
        <v>108108</v>
      </c>
      <c r="E550" s="2">
        <v>25004650</v>
      </c>
      <c r="F550" s="2">
        <v>1</v>
      </c>
      <c r="G550" t="s">
        <v>1554</v>
      </c>
      <c r="H550" t="s">
        <v>1233</v>
      </c>
      <c r="I550" t="s">
        <v>1887</v>
      </c>
      <c r="J550" t="s">
        <v>1323</v>
      </c>
      <c r="K550" s="3">
        <v>1</v>
      </c>
      <c r="L550" s="4">
        <v>19.7</v>
      </c>
      <c r="O550" t="s">
        <v>2</v>
      </c>
      <c r="P550" t="s">
        <v>744</v>
      </c>
      <c r="Q550" s="2">
        <v>10</v>
      </c>
      <c r="R550" s="5">
        <v>21.9</v>
      </c>
      <c r="S550" s="5">
        <v>2.2000000000000002</v>
      </c>
      <c r="T550" s="2">
        <v>20</v>
      </c>
      <c r="U550" t="s">
        <v>3</v>
      </c>
      <c r="V550" t="s">
        <v>235</v>
      </c>
      <c r="W550" s="5">
        <v>29.32</v>
      </c>
    </row>
    <row r="551" spans="1:23" ht="15" x14ac:dyDescent="0.2">
      <c r="A551" t="s">
        <v>1009</v>
      </c>
      <c r="B551" s="1">
        <f>45918</f>
        <v>45918</v>
      </c>
      <c r="C551" t="s">
        <v>0</v>
      </c>
      <c r="D551">
        <v>108108</v>
      </c>
      <c r="E551" s="2">
        <v>25004650</v>
      </c>
      <c r="F551" s="2">
        <v>2</v>
      </c>
      <c r="G551" t="s">
        <v>1373</v>
      </c>
      <c r="H551" t="s">
        <v>1055</v>
      </c>
      <c r="I551" t="s">
        <v>1887</v>
      </c>
      <c r="J551" t="s">
        <v>1323</v>
      </c>
      <c r="K551" s="3">
        <v>1</v>
      </c>
      <c r="L551" s="4">
        <v>15.2</v>
      </c>
      <c r="O551" t="s">
        <v>2</v>
      </c>
      <c r="P551" t="s">
        <v>744</v>
      </c>
      <c r="Q551" s="2">
        <v>10</v>
      </c>
      <c r="R551" s="5">
        <v>16.899999999999999</v>
      </c>
      <c r="S551" s="5">
        <v>1.7</v>
      </c>
      <c r="T551" s="2">
        <v>15</v>
      </c>
      <c r="U551" t="s">
        <v>3</v>
      </c>
      <c r="V551" t="s">
        <v>235</v>
      </c>
      <c r="W551" s="5">
        <v>29.32</v>
      </c>
    </row>
    <row r="552" spans="1:23" ht="15" x14ac:dyDescent="0.2">
      <c r="A552" t="s">
        <v>1009</v>
      </c>
      <c r="B552" s="1">
        <f>45918</f>
        <v>45918</v>
      </c>
      <c r="C552" t="s">
        <v>0</v>
      </c>
      <c r="D552">
        <v>108108</v>
      </c>
      <c r="E552" s="2">
        <v>25004651</v>
      </c>
      <c r="F552" s="2">
        <v>1</v>
      </c>
      <c r="G552" t="s">
        <v>1488</v>
      </c>
      <c r="H552" t="s">
        <v>1169</v>
      </c>
      <c r="I552" t="s">
        <v>1885</v>
      </c>
      <c r="J552" t="s">
        <v>1323</v>
      </c>
      <c r="K552" s="3">
        <v>1</v>
      </c>
      <c r="L552" s="4">
        <v>17.899999999999999</v>
      </c>
      <c r="O552" t="s">
        <v>2</v>
      </c>
      <c r="P552" t="s">
        <v>745</v>
      </c>
      <c r="Q552" s="2">
        <v>0</v>
      </c>
      <c r="R552" s="5">
        <v>17.899999999999999</v>
      </c>
      <c r="S552" s="5">
        <v>0</v>
      </c>
      <c r="T552" s="2">
        <v>18</v>
      </c>
      <c r="U552" t="s">
        <v>3</v>
      </c>
      <c r="V552" t="s">
        <v>233</v>
      </c>
      <c r="W552" s="5">
        <v>15.04</v>
      </c>
    </row>
    <row r="553" spans="1:23" ht="15" x14ac:dyDescent="0.2">
      <c r="A553" t="s">
        <v>1009</v>
      </c>
      <c r="B553" s="1">
        <f>45918</f>
        <v>45918</v>
      </c>
      <c r="C553" t="s">
        <v>0</v>
      </c>
      <c r="D553">
        <v>108108</v>
      </c>
      <c r="E553" s="2">
        <v>25004652</v>
      </c>
      <c r="F553" s="2">
        <v>1</v>
      </c>
      <c r="G553" t="s">
        <v>1332</v>
      </c>
      <c r="H553" t="s">
        <v>362</v>
      </c>
      <c r="I553" t="s">
        <v>1888</v>
      </c>
      <c r="J553" t="s">
        <v>1325</v>
      </c>
      <c r="K553" s="3">
        <v>1</v>
      </c>
      <c r="L553" s="4">
        <v>5</v>
      </c>
      <c r="O553" t="s">
        <v>2</v>
      </c>
      <c r="P553" t="s">
        <v>746</v>
      </c>
      <c r="Q553" s="2">
        <v>0</v>
      </c>
      <c r="R553" s="5">
        <v>5</v>
      </c>
      <c r="S553" s="5">
        <v>0</v>
      </c>
      <c r="T553" s="2">
        <v>5</v>
      </c>
      <c r="U553" t="s">
        <v>3</v>
      </c>
      <c r="V553" t="s">
        <v>236</v>
      </c>
      <c r="W553" s="5">
        <v>72.849999999999994</v>
      </c>
    </row>
    <row r="554" spans="1:23" ht="15" x14ac:dyDescent="0.2">
      <c r="A554" t="s">
        <v>1009</v>
      </c>
      <c r="B554" s="1">
        <f>45918</f>
        <v>45918</v>
      </c>
      <c r="C554" t="s">
        <v>0</v>
      </c>
      <c r="D554">
        <v>108108</v>
      </c>
      <c r="E554" s="2">
        <v>25004652</v>
      </c>
      <c r="F554" s="2">
        <v>2</v>
      </c>
      <c r="G554" t="s">
        <v>1332</v>
      </c>
      <c r="H554" t="s">
        <v>362</v>
      </c>
      <c r="I554" t="s">
        <v>1888</v>
      </c>
      <c r="J554" t="s">
        <v>1325</v>
      </c>
      <c r="K554" s="3">
        <v>1</v>
      </c>
      <c r="L554" s="4">
        <v>5</v>
      </c>
      <c r="O554" t="s">
        <v>2</v>
      </c>
      <c r="P554" t="s">
        <v>746</v>
      </c>
      <c r="Q554" s="2">
        <v>0</v>
      </c>
      <c r="R554" s="5">
        <v>5</v>
      </c>
      <c r="S554" s="5">
        <v>0</v>
      </c>
      <c r="T554" s="2">
        <v>5</v>
      </c>
      <c r="U554" t="s">
        <v>3</v>
      </c>
      <c r="V554" t="s">
        <v>236</v>
      </c>
      <c r="W554" s="5">
        <v>72.849999999999994</v>
      </c>
    </row>
    <row r="555" spans="1:23" ht="15" x14ac:dyDescent="0.2">
      <c r="A555" t="s">
        <v>1009</v>
      </c>
      <c r="B555" s="1">
        <f>45918</f>
        <v>45918</v>
      </c>
      <c r="C555" t="s">
        <v>0</v>
      </c>
      <c r="D555">
        <v>108108</v>
      </c>
      <c r="E555" s="2">
        <v>25004652</v>
      </c>
      <c r="F555" s="2">
        <v>3</v>
      </c>
      <c r="G555" t="s">
        <v>1332</v>
      </c>
      <c r="H555" t="s">
        <v>362</v>
      </c>
      <c r="I555" t="s">
        <v>1888</v>
      </c>
      <c r="J555" t="s">
        <v>1325</v>
      </c>
      <c r="K555" s="3">
        <v>1</v>
      </c>
      <c r="L555" s="4">
        <v>5</v>
      </c>
      <c r="O555" t="s">
        <v>2</v>
      </c>
      <c r="P555" t="s">
        <v>746</v>
      </c>
      <c r="Q555" s="2">
        <v>0</v>
      </c>
      <c r="R555" s="5">
        <v>5</v>
      </c>
      <c r="S555" s="5">
        <v>0</v>
      </c>
      <c r="T555" s="2">
        <v>5</v>
      </c>
      <c r="U555" t="s">
        <v>3</v>
      </c>
      <c r="V555" t="s">
        <v>236</v>
      </c>
      <c r="W555" s="5">
        <v>72.849999999999994</v>
      </c>
    </row>
    <row r="556" spans="1:23" ht="15" x14ac:dyDescent="0.2">
      <c r="A556" t="s">
        <v>1009</v>
      </c>
      <c r="B556" s="1">
        <f>45918</f>
        <v>45918</v>
      </c>
      <c r="C556" t="s">
        <v>0</v>
      </c>
      <c r="D556">
        <v>108108</v>
      </c>
      <c r="E556" s="2">
        <v>25004652</v>
      </c>
      <c r="F556" s="2">
        <v>4</v>
      </c>
      <c r="G556" t="s">
        <v>1331</v>
      </c>
      <c r="H556" t="s">
        <v>1014</v>
      </c>
      <c r="I556" t="s">
        <v>1888</v>
      </c>
      <c r="J556" t="s">
        <v>1325</v>
      </c>
      <c r="K556" s="3">
        <v>1</v>
      </c>
      <c r="L556" s="4">
        <v>21.9</v>
      </c>
      <c r="O556" t="s">
        <v>2</v>
      </c>
      <c r="P556" t="s">
        <v>746</v>
      </c>
      <c r="Q556" s="2">
        <v>0</v>
      </c>
      <c r="R556" s="5">
        <v>21.9</v>
      </c>
      <c r="S556" s="5">
        <v>0</v>
      </c>
      <c r="T556" s="2">
        <v>22</v>
      </c>
      <c r="U556" t="s">
        <v>3</v>
      </c>
      <c r="V556" t="s">
        <v>236</v>
      </c>
      <c r="W556" s="5">
        <v>72.849999999999994</v>
      </c>
    </row>
    <row r="557" spans="1:23" ht="15" x14ac:dyDescent="0.2">
      <c r="A557" t="s">
        <v>1009</v>
      </c>
      <c r="B557" s="1">
        <f>45918</f>
        <v>45918</v>
      </c>
      <c r="C557" t="s">
        <v>0</v>
      </c>
      <c r="D557">
        <v>108108</v>
      </c>
      <c r="E557" s="2">
        <v>25004652</v>
      </c>
      <c r="F557" s="2">
        <v>5</v>
      </c>
      <c r="G557" t="s">
        <v>1331</v>
      </c>
      <c r="H557" t="s">
        <v>1014</v>
      </c>
      <c r="I557" t="s">
        <v>1888</v>
      </c>
      <c r="J557" t="s">
        <v>1325</v>
      </c>
      <c r="K557" s="3">
        <v>1</v>
      </c>
      <c r="L557" s="4">
        <v>21.9</v>
      </c>
      <c r="O557" t="s">
        <v>2</v>
      </c>
      <c r="P557" t="s">
        <v>746</v>
      </c>
      <c r="Q557" s="2">
        <v>0</v>
      </c>
      <c r="R557" s="5">
        <v>21.9</v>
      </c>
      <c r="S557" s="5">
        <v>0</v>
      </c>
      <c r="T557" s="2">
        <v>22</v>
      </c>
      <c r="U557" t="s">
        <v>3</v>
      </c>
      <c r="V557" t="s">
        <v>236</v>
      </c>
      <c r="W557" s="5">
        <v>72.849999999999994</v>
      </c>
    </row>
    <row r="558" spans="1:23" ht="15" x14ac:dyDescent="0.2">
      <c r="A558" t="s">
        <v>1009</v>
      </c>
      <c r="B558" s="1">
        <f>45918</f>
        <v>45918</v>
      </c>
      <c r="C558" t="s">
        <v>0</v>
      </c>
      <c r="D558">
        <v>108108</v>
      </c>
      <c r="E558" s="2">
        <v>25004652</v>
      </c>
      <c r="F558" s="2">
        <v>6</v>
      </c>
      <c r="G558" t="s">
        <v>1531</v>
      </c>
      <c r="H558" t="s">
        <v>1211</v>
      </c>
      <c r="I558" t="s">
        <v>1888</v>
      </c>
      <c r="J558" t="s">
        <v>1325</v>
      </c>
      <c r="K558" s="3">
        <v>1</v>
      </c>
      <c r="L558" s="4">
        <v>27.9</v>
      </c>
      <c r="O558" t="s">
        <v>2</v>
      </c>
      <c r="P558" t="s">
        <v>746</v>
      </c>
      <c r="Q558" s="2">
        <v>0</v>
      </c>
      <c r="R558" s="5">
        <v>27.9</v>
      </c>
      <c r="S558" s="5">
        <v>0</v>
      </c>
      <c r="T558" s="2">
        <v>28</v>
      </c>
      <c r="U558" t="s">
        <v>3</v>
      </c>
      <c r="V558" t="s">
        <v>236</v>
      </c>
      <c r="W558" s="5">
        <v>72.849999999999994</v>
      </c>
    </row>
    <row r="559" spans="1:23" ht="15" x14ac:dyDescent="0.2">
      <c r="A559" t="s">
        <v>1009</v>
      </c>
      <c r="B559" s="1">
        <f>45918</f>
        <v>45918</v>
      </c>
      <c r="C559" t="s">
        <v>0</v>
      </c>
      <c r="D559">
        <v>108108</v>
      </c>
      <c r="E559" s="2">
        <v>25004653</v>
      </c>
      <c r="F559" s="2">
        <v>1</v>
      </c>
      <c r="G559" t="s">
        <v>1328</v>
      </c>
      <c r="H559" t="s">
        <v>1011</v>
      </c>
      <c r="I559" t="s">
        <v>1884</v>
      </c>
      <c r="J559" t="s">
        <v>1325</v>
      </c>
      <c r="K559" s="3">
        <v>1</v>
      </c>
      <c r="L559" s="4">
        <v>22.9</v>
      </c>
      <c r="O559" t="s">
        <v>2</v>
      </c>
      <c r="P559" t="s">
        <v>747</v>
      </c>
      <c r="Q559" s="2">
        <v>0</v>
      </c>
      <c r="R559" s="5">
        <v>22.9</v>
      </c>
      <c r="S559" s="5">
        <v>0</v>
      </c>
      <c r="T559" s="2">
        <v>23</v>
      </c>
      <c r="U559" t="s">
        <v>3</v>
      </c>
      <c r="V559" t="s">
        <v>232</v>
      </c>
      <c r="W559" s="5">
        <v>19.239999999999998</v>
      </c>
    </row>
    <row r="560" spans="1:23" ht="15" x14ac:dyDescent="0.2">
      <c r="A560" t="s">
        <v>1009</v>
      </c>
      <c r="B560" s="1">
        <f>45918</f>
        <v>45918</v>
      </c>
      <c r="C560" t="s">
        <v>0</v>
      </c>
      <c r="D560">
        <v>108108</v>
      </c>
      <c r="E560" s="2">
        <v>25004654</v>
      </c>
      <c r="F560" s="2">
        <v>1</v>
      </c>
      <c r="G560" t="s">
        <v>1646</v>
      </c>
      <c r="H560" t="s">
        <v>361</v>
      </c>
      <c r="I560" t="s">
        <v>1647</v>
      </c>
      <c r="J560" t="s">
        <v>1325</v>
      </c>
      <c r="K560" s="3">
        <v>1</v>
      </c>
      <c r="L560" s="4">
        <v>-450</v>
      </c>
      <c r="Q560" s="2">
        <v>0</v>
      </c>
      <c r="R560" s="5">
        <v>-450</v>
      </c>
      <c r="S560" s="5">
        <v>0</v>
      </c>
      <c r="T560" s="2">
        <v>-450</v>
      </c>
      <c r="U560" t="s">
        <v>1</v>
      </c>
      <c r="V560" t="s">
        <v>361</v>
      </c>
      <c r="W560" s="5">
        <v>-450</v>
      </c>
    </row>
    <row r="561" spans="1:23" ht="15" x14ac:dyDescent="0.2">
      <c r="A561" t="s">
        <v>1009</v>
      </c>
      <c r="B561" s="1">
        <f>45919</f>
        <v>45919</v>
      </c>
      <c r="C561" t="s">
        <v>0</v>
      </c>
      <c r="D561">
        <v>108108</v>
      </c>
      <c r="E561" s="2">
        <v>25004655</v>
      </c>
      <c r="F561" s="2">
        <v>1</v>
      </c>
      <c r="G561" t="s">
        <v>1646</v>
      </c>
      <c r="H561" t="s">
        <v>361</v>
      </c>
      <c r="I561" t="s">
        <v>1647</v>
      </c>
      <c r="J561" t="s">
        <v>1324</v>
      </c>
      <c r="K561" s="3">
        <v>1</v>
      </c>
      <c r="L561" s="4">
        <v>450</v>
      </c>
      <c r="Q561" s="2">
        <v>0</v>
      </c>
      <c r="R561" s="5">
        <v>450</v>
      </c>
      <c r="S561" s="5">
        <v>0</v>
      </c>
      <c r="T561" s="2">
        <v>450</v>
      </c>
      <c r="U561" t="s">
        <v>1</v>
      </c>
      <c r="V561" t="s">
        <v>361</v>
      </c>
      <c r="W561" s="5">
        <v>450</v>
      </c>
    </row>
    <row r="562" spans="1:23" ht="15" x14ac:dyDescent="0.2">
      <c r="A562" t="s">
        <v>1009</v>
      </c>
      <c r="B562" s="1">
        <f>45919</f>
        <v>45919</v>
      </c>
      <c r="C562" t="s">
        <v>0</v>
      </c>
      <c r="D562">
        <v>108108</v>
      </c>
      <c r="E562" s="2">
        <v>25004656</v>
      </c>
      <c r="F562" s="2">
        <v>1</v>
      </c>
      <c r="G562" t="s">
        <v>1363</v>
      </c>
      <c r="H562" t="s">
        <v>1045</v>
      </c>
      <c r="I562" t="s">
        <v>1844</v>
      </c>
      <c r="J562" t="s">
        <v>1324</v>
      </c>
      <c r="K562" s="3">
        <v>1</v>
      </c>
      <c r="L562" s="4">
        <v>32</v>
      </c>
      <c r="O562" t="s">
        <v>2</v>
      </c>
      <c r="P562" t="s">
        <v>748</v>
      </c>
      <c r="Q562" s="2">
        <v>0</v>
      </c>
      <c r="R562" s="5">
        <v>32</v>
      </c>
      <c r="S562" s="5">
        <v>0</v>
      </c>
      <c r="T562" s="2">
        <v>32</v>
      </c>
      <c r="U562" t="s">
        <v>3</v>
      </c>
      <c r="V562" t="s">
        <v>194</v>
      </c>
      <c r="W562" s="5">
        <v>26.89</v>
      </c>
    </row>
    <row r="563" spans="1:23" ht="15" x14ac:dyDescent="0.2">
      <c r="A563" t="s">
        <v>1009</v>
      </c>
      <c r="B563" s="1">
        <f>45919</f>
        <v>45919</v>
      </c>
      <c r="C563" t="s">
        <v>0</v>
      </c>
      <c r="D563">
        <v>108108</v>
      </c>
      <c r="E563" s="2">
        <v>25004657</v>
      </c>
      <c r="F563" s="2">
        <v>1</v>
      </c>
      <c r="G563" t="s">
        <v>1501</v>
      </c>
      <c r="H563" t="s">
        <v>1182</v>
      </c>
      <c r="I563" t="s">
        <v>1886</v>
      </c>
      <c r="J563" t="s">
        <v>1324</v>
      </c>
      <c r="K563" s="3">
        <v>1</v>
      </c>
      <c r="L563" s="4">
        <v>26.9</v>
      </c>
      <c r="O563" t="s">
        <v>2</v>
      </c>
      <c r="P563" t="s">
        <v>749</v>
      </c>
      <c r="Q563" s="2">
        <v>0</v>
      </c>
      <c r="R563" s="5">
        <v>26.9</v>
      </c>
      <c r="S563" s="5">
        <v>0</v>
      </c>
      <c r="T563" s="2">
        <v>27</v>
      </c>
      <c r="U563" t="s">
        <v>3</v>
      </c>
      <c r="V563" t="s">
        <v>234</v>
      </c>
      <c r="W563" s="5">
        <v>22.61</v>
      </c>
    </row>
    <row r="564" spans="1:23" ht="15" x14ac:dyDescent="0.2">
      <c r="A564" t="s">
        <v>1009</v>
      </c>
      <c r="B564" s="1">
        <f>45919</f>
        <v>45919</v>
      </c>
      <c r="C564" t="s">
        <v>0</v>
      </c>
      <c r="D564">
        <v>108108</v>
      </c>
      <c r="E564" s="2">
        <v>25004658</v>
      </c>
      <c r="F564" s="2">
        <v>1</v>
      </c>
      <c r="G564" t="s">
        <v>1531</v>
      </c>
      <c r="H564" t="s">
        <v>1211</v>
      </c>
      <c r="I564" t="s">
        <v>1889</v>
      </c>
      <c r="J564" t="s">
        <v>1324</v>
      </c>
      <c r="K564" s="3">
        <v>2</v>
      </c>
      <c r="L564" s="4">
        <v>55.8</v>
      </c>
      <c r="O564" t="s">
        <v>2</v>
      </c>
      <c r="P564" t="s">
        <v>750</v>
      </c>
      <c r="Q564" s="2">
        <v>0</v>
      </c>
      <c r="R564" s="5">
        <v>27.9</v>
      </c>
      <c r="S564" s="5">
        <v>0</v>
      </c>
      <c r="T564" s="2">
        <v>28</v>
      </c>
      <c r="U564" t="s">
        <v>3</v>
      </c>
      <c r="V564" t="s">
        <v>47</v>
      </c>
      <c r="W564" s="5">
        <v>46.89</v>
      </c>
    </row>
    <row r="565" spans="1:23" ht="15" x14ac:dyDescent="0.2">
      <c r="A565" t="s">
        <v>1009</v>
      </c>
      <c r="B565" s="1">
        <f>45919</f>
        <v>45919</v>
      </c>
      <c r="C565" t="s">
        <v>0</v>
      </c>
      <c r="D565">
        <v>108108</v>
      </c>
      <c r="E565" s="2">
        <v>25004659</v>
      </c>
      <c r="F565" s="2">
        <v>1</v>
      </c>
      <c r="G565" t="s">
        <v>1502</v>
      </c>
      <c r="H565" t="s">
        <v>1183</v>
      </c>
      <c r="I565" t="s">
        <v>1811</v>
      </c>
      <c r="J565" t="s">
        <v>1324</v>
      </c>
      <c r="K565" s="3">
        <v>1</v>
      </c>
      <c r="L565" s="4">
        <v>22.9</v>
      </c>
      <c r="O565" t="s">
        <v>2</v>
      </c>
      <c r="P565" t="s">
        <v>751</v>
      </c>
      <c r="Q565" s="2">
        <v>0</v>
      </c>
      <c r="R565" s="5">
        <v>22.9</v>
      </c>
      <c r="S565" s="5">
        <v>0</v>
      </c>
      <c r="T565" s="2">
        <v>23</v>
      </c>
      <c r="U565" t="s">
        <v>3</v>
      </c>
      <c r="V565" t="s">
        <v>163</v>
      </c>
      <c r="W565" s="5">
        <v>19.239999999999998</v>
      </c>
    </row>
    <row r="566" spans="1:23" ht="15" x14ac:dyDescent="0.2">
      <c r="A566" t="s">
        <v>1009</v>
      </c>
      <c r="B566" s="1">
        <f>45919</f>
        <v>45919</v>
      </c>
      <c r="C566" t="s">
        <v>0</v>
      </c>
      <c r="D566">
        <v>108108</v>
      </c>
      <c r="E566" s="2">
        <v>25004660</v>
      </c>
      <c r="F566" s="2">
        <v>1</v>
      </c>
      <c r="G566" t="s">
        <v>1360</v>
      </c>
      <c r="H566" t="s">
        <v>1042</v>
      </c>
      <c r="I566" t="s">
        <v>1785</v>
      </c>
      <c r="J566" t="s">
        <v>1324</v>
      </c>
      <c r="K566" s="3">
        <v>1</v>
      </c>
      <c r="L566" s="4">
        <v>22.9</v>
      </c>
      <c r="O566" t="s">
        <v>2</v>
      </c>
      <c r="P566" t="s">
        <v>752</v>
      </c>
      <c r="Q566" s="2">
        <v>0</v>
      </c>
      <c r="R566" s="5">
        <v>22.9</v>
      </c>
      <c r="S566" s="5">
        <v>0</v>
      </c>
      <c r="T566" s="2">
        <v>23</v>
      </c>
      <c r="U566" t="s">
        <v>3</v>
      </c>
      <c r="V566" t="s">
        <v>137</v>
      </c>
      <c r="W566" s="5">
        <v>19.239999999999998</v>
      </c>
    </row>
    <row r="567" spans="1:23" ht="15" x14ac:dyDescent="0.2">
      <c r="A567" t="s">
        <v>1009</v>
      </c>
      <c r="B567" s="1">
        <f>45919</f>
        <v>45919</v>
      </c>
      <c r="C567" t="s">
        <v>0</v>
      </c>
      <c r="D567">
        <v>108108</v>
      </c>
      <c r="E567" s="2">
        <v>25004661</v>
      </c>
      <c r="F567" s="2">
        <v>1</v>
      </c>
      <c r="G567" t="s">
        <v>1526</v>
      </c>
      <c r="H567" t="s">
        <v>1206</v>
      </c>
      <c r="I567" t="s">
        <v>1851</v>
      </c>
      <c r="J567" t="s">
        <v>1324</v>
      </c>
      <c r="K567" s="3">
        <v>1</v>
      </c>
      <c r="L567" s="4">
        <v>32</v>
      </c>
      <c r="O567" t="s">
        <v>2</v>
      </c>
      <c r="P567" t="s">
        <v>753</v>
      </c>
      <c r="Q567" s="2">
        <v>0</v>
      </c>
      <c r="R567" s="5">
        <v>32</v>
      </c>
      <c r="S567" s="5">
        <v>0</v>
      </c>
      <c r="T567" s="2">
        <v>32</v>
      </c>
      <c r="U567" t="s">
        <v>3</v>
      </c>
      <c r="V567" t="s">
        <v>201</v>
      </c>
      <c r="W567" s="5">
        <v>26.89</v>
      </c>
    </row>
    <row r="568" spans="1:23" ht="15" x14ac:dyDescent="0.2">
      <c r="A568" t="s">
        <v>1009</v>
      </c>
      <c r="B568" s="1">
        <f>45919</f>
        <v>45919</v>
      </c>
      <c r="C568" t="s">
        <v>0</v>
      </c>
      <c r="D568">
        <v>108108</v>
      </c>
      <c r="E568" s="2">
        <v>25004662</v>
      </c>
      <c r="F568" s="2">
        <v>1</v>
      </c>
      <c r="G568" t="s">
        <v>1535</v>
      </c>
      <c r="H568" t="s">
        <v>1214</v>
      </c>
      <c r="I568" t="s">
        <v>1724</v>
      </c>
      <c r="J568" t="s">
        <v>1324</v>
      </c>
      <c r="K568" s="3">
        <v>1</v>
      </c>
      <c r="L568" s="4">
        <v>22.9</v>
      </c>
      <c r="O568" t="s">
        <v>2</v>
      </c>
      <c r="P568" t="s">
        <v>754</v>
      </c>
      <c r="Q568" s="2">
        <v>0</v>
      </c>
      <c r="R568" s="5">
        <v>22.9</v>
      </c>
      <c r="S568" s="5">
        <v>0</v>
      </c>
      <c r="T568" s="2">
        <v>23</v>
      </c>
      <c r="U568" t="s">
        <v>3</v>
      </c>
      <c r="V568" t="s">
        <v>80</v>
      </c>
      <c r="W568" s="5">
        <v>19.239999999999998</v>
      </c>
    </row>
    <row r="569" spans="1:23" ht="15" x14ac:dyDescent="0.2">
      <c r="A569" t="s">
        <v>1009</v>
      </c>
      <c r="B569" s="1">
        <f>45919</f>
        <v>45919</v>
      </c>
      <c r="C569" t="s">
        <v>0</v>
      </c>
      <c r="D569">
        <v>108108</v>
      </c>
      <c r="E569" s="2">
        <v>25004663</v>
      </c>
      <c r="F569" s="2">
        <v>1</v>
      </c>
      <c r="G569" t="s">
        <v>1442</v>
      </c>
      <c r="H569" t="s">
        <v>1124</v>
      </c>
      <c r="I569" t="s">
        <v>1890</v>
      </c>
      <c r="J569" t="s">
        <v>1324</v>
      </c>
      <c r="K569" s="3">
        <v>1</v>
      </c>
      <c r="L569" s="4">
        <v>22.9</v>
      </c>
      <c r="O569" t="s">
        <v>2</v>
      </c>
      <c r="P569" t="s">
        <v>755</v>
      </c>
      <c r="Q569" s="2">
        <v>0</v>
      </c>
      <c r="R569" s="5">
        <v>22.9</v>
      </c>
      <c r="S569" s="5">
        <v>0</v>
      </c>
      <c r="T569" s="2">
        <v>23</v>
      </c>
      <c r="U569" t="s">
        <v>3</v>
      </c>
      <c r="V569" t="s">
        <v>237</v>
      </c>
      <c r="W569" s="5">
        <v>19.239999999999998</v>
      </c>
    </row>
    <row r="570" spans="1:23" ht="15" x14ac:dyDescent="0.2">
      <c r="A570" t="s">
        <v>1009</v>
      </c>
      <c r="B570" s="1">
        <f>45919</f>
        <v>45919</v>
      </c>
      <c r="C570" t="s">
        <v>0</v>
      </c>
      <c r="D570">
        <v>108108</v>
      </c>
      <c r="E570" s="2">
        <v>25004664</v>
      </c>
      <c r="F570" s="2">
        <v>1</v>
      </c>
      <c r="G570" t="s">
        <v>1488</v>
      </c>
      <c r="H570" t="s">
        <v>1169</v>
      </c>
      <c r="I570" t="s">
        <v>1647</v>
      </c>
      <c r="J570" t="s">
        <v>1324</v>
      </c>
      <c r="K570" s="3">
        <v>1</v>
      </c>
      <c r="L570" s="4">
        <v>17.899999999999999</v>
      </c>
      <c r="O570" t="s">
        <v>2</v>
      </c>
      <c r="P570" t="s">
        <v>756</v>
      </c>
      <c r="Q570" s="2">
        <v>0</v>
      </c>
      <c r="R570" s="5">
        <v>17.899999999999999</v>
      </c>
      <c r="S570" s="5">
        <v>0</v>
      </c>
      <c r="T570" s="2">
        <v>18</v>
      </c>
      <c r="U570" t="s">
        <v>3</v>
      </c>
      <c r="V570" t="s">
        <v>1322</v>
      </c>
      <c r="W570" s="5">
        <v>15.04</v>
      </c>
    </row>
    <row r="571" spans="1:23" ht="15" x14ac:dyDescent="0.2">
      <c r="A571" t="s">
        <v>1009</v>
      </c>
      <c r="B571" s="1">
        <f>45919</f>
        <v>45919</v>
      </c>
      <c r="C571" t="s">
        <v>0</v>
      </c>
      <c r="D571">
        <v>108108</v>
      </c>
      <c r="E571" s="2">
        <v>25004665</v>
      </c>
      <c r="F571" s="2">
        <v>1</v>
      </c>
      <c r="G571" t="s">
        <v>1469</v>
      </c>
      <c r="H571" t="s">
        <v>1150</v>
      </c>
      <c r="I571" t="s">
        <v>1891</v>
      </c>
      <c r="J571" t="s">
        <v>1324</v>
      </c>
      <c r="K571" s="3">
        <v>1</v>
      </c>
      <c r="L571" s="4">
        <v>27.5</v>
      </c>
      <c r="O571" t="s">
        <v>2</v>
      </c>
      <c r="P571" t="s">
        <v>757</v>
      </c>
      <c r="Q571" s="2">
        <v>0</v>
      </c>
      <c r="R571" s="5">
        <v>27.5</v>
      </c>
      <c r="S571" s="5">
        <v>0</v>
      </c>
      <c r="T571" s="2">
        <v>28</v>
      </c>
      <c r="U571" t="s">
        <v>3</v>
      </c>
      <c r="V571" t="s">
        <v>66</v>
      </c>
      <c r="W571" s="5">
        <v>23.11</v>
      </c>
    </row>
    <row r="572" spans="1:23" ht="15" x14ac:dyDescent="0.2">
      <c r="A572" t="s">
        <v>1009</v>
      </c>
      <c r="B572" s="1">
        <f>45919</f>
        <v>45919</v>
      </c>
      <c r="C572" t="s">
        <v>0</v>
      </c>
      <c r="D572">
        <v>108108</v>
      </c>
      <c r="E572" s="2">
        <v>25004666</v>
      </c>
      <c r="F572" s="2">
        <v>1</v>
      </c>
      <c r="G572" t="s">
        <v>1373</v>
      </c>
      <c r="H572" t="s">
        <v>1055</v>
      </c>
      <c r="I572" t="s">
        <v>1843</v>
      </c>
      <c r="J572" t="s">
        <v>1324</v>
      </c>
      <c r="K572" s="3">
        <v>1</v>
      </c>
      <c r="L572" s="4">
        <v>16.899999999999999</v>
      </c>
      <c r="O572" t="s">
        <v>2</v>
      </c>
      <c r="P572" t="s">
        <v>758</v>
      </c>
      <c r="Q572" s="2">
        <v>0</v>
      </c>
      <c r="R572" s="5">
        <v>16.899999999999999</v>
      </c>
      <c r="S572" s="5">
        <v>0</v>
      </c>
      <c r="T572" s="2">
        <v>17</v>
      </c>
      <c r="U572" t="s">
        <v>3</v>
      </c>
      <c r="V572" t="s">
        <v>193</v>
      </c>
      <c r="W572" s="5">
        <v>14.2</v>
      </c>
    </row>
    <row r="573" spans="1:23" ht="15" x14ac:dyDescent="0.2">
      <c r="A573" t="s">
        <v>1009</v>
      </c>
      <c r="B573" s="1">
        <f>45919</f>
        <v>45919</v>
      </c>
      <c r="C573" t="s">
        <v>0</v>
      </c>
      <c r="D573">
        <v>108108</v>
      </c>
      <c r="E573" s="2">
        <v>25004667</v>
      </c>
      <c r="F573" s="2">
        <v>1</v>
      </c>
      <c r="G573" t="s">
        <v>1342</v>
      </c>
      <c r="H573" t="s">
        <v>1024</v>
      </c>
      <c r="I573" t="s">
        <v>1892</v>
      </c>
      <c r="J573" t="s">
        <v>1324</v>
      </c>
      <c r="K573" s="3">
        <v>1</v>
      </c>
      <c r="L573" s="4">
        <v>21.9</v>
      </c>
      <c r="O573" t="s">
        <v>2</v>
      </c>
      <c r="P573" t="s">
        <v>759</v>
      </c>
      <c r="Q573" s="2">
        <v>0</v>
      </c>
      <c r="R573" s="5">
        <v>21.9</v>
      </c>
      <c r="S573" s="5">
        <v>0</v>
      </c>
      <c r="T573" s="2">
        <v>22</v>
      </c>
      <c r="U573" t="s">
        <v>3</v>
      </c>
      <c r="V573" t="s">
        <v>238</v>
      </c>
      <c r="W573" s="5">
        <v>18.399999999999999</v>
      </c>
    </row>
    <row r="574" spans="1:23" ht="15" x14ac:dyDescent="0.2">
      <c r="A574" t="s">
        <v>1009</v>
      </c>
      <c r="B574" s="1">
        <f>45919</f>
        <v>45919</v>
      </c>
      <c r="C574" t="s">
        <v>0</v>
      </c>
      <c r="D574">
        <v>108108</v>
      </c>
      <c r="E574" s="2">
        <v>25004668</v>
      </c>
      <c r="F574" s="2">
        <v>1</v>
      </c>
      <c r="G574" t="s">
        <v>1547</v>
      </c>
      <c r="H574" t="s">
        <v>1226</v>
      </c>
      <c r="I574" t="s">
        <v>1657</v>
      </c>
      <c r="J574" t="s">
        <v>1323</v>
      </c>
      <c r="K574" s="3">
        <v>1</v>
      </c>
      <c r="L574" s="4">
        <v>31</v>
      </c>
      <c r="O574" t="s">
        <v>2</v>
      </c>
      <c r="P574" t="s">
        <v>760</v>
      </c>
      <c r="Q574" s="2">
        <v>0</v>
      </c>
      <c r="R574" s="5">
        <v>31</v>
      </c>
      <c r="S574" s="5">
        <v>0</v>
      </c>
      <c r="T574" s="2">
        <v>31</v>
      </c>
      <c r="U574" t="s">
        <v>3</v>
      </c>
      <c r="V574" t="s">
        <v>13</v>
      </c>
      <c r="W574" s="5">
        <v>26.05</v>
      </c>
    </row>
    <row r="575" spans="1:23" ht="15" x14ac:dyDescent="0.2">
      <c r="A575" t="s">
        <v>1009</v>
      </c>
      <c r="B575" s="1">
        <f>45919</f>
        <v>45919</v>
      </c>
      <c r="C575" t="s">
        <v>0</v>
      </c>
      <c r="D575">
        <v>108108</v>
      </c>
      <c r="E575" s="2">
        <v>25004669</v>
      </c>
      <c r="F575" s="2">
        <v>1</v>
      </c>
      <c r="G575" t="s">
        <v>1393</v>
      </c>
      <c r="H575" t="s">
        <v>1075</v>
      </c>
      <c r="I575" t="s">
        <v>1851</v>
      </c>
      <c r="J575" t="s">
        <v>1323</v>
      </c>
      <c r="K575" s="3">
        <v>1</v>
      </c>
      <c r="L575" s="4">
        <v>33</v>
      </c>
      <c r="O575" t="s">
        <v>2</v>
      </c>
      <c r="P575" t="s">
        <v>761</v>
      </c>
      <c r="Q575" s="2">
        <v>0</v>
      </c>
      <c r="R575" s="5">
        <v>33</v>
      </c>
      <c r="S575" s="5">
        <v>0</v>
      </c>
      <c r="T575" s="2">
        <v>33</v>
      </c>
      <c r="U575" t="s">
        <v>3</v>
      </c>
      <c r="V575" t="s">
        <v>201</v>
      </c>
      <c r="W575" s="5">
        <v>94.96</v>
      </c>
    </row>
    <row r="576" spans="1:23" ht="15" x14ac:dyDescent="0.2">
      <c r="A576" t="s">
        <v>1009</v>
      </c>
      <c r="B576" s="1">
        <f>45919</f>
        <v>45919</v>
      </c>
      <c r="C576" t="s">
        <v>0</v>
      </c>
      <c r="D576">
        <v>108108</v>
      </c>
      <c r="E576" s="2">
        <v>25004669</v>
      </c>
      <c r="F576" s="2">
        <v>2</v>
      </c>
      <c r="G576" t="s">
        <v>1424</v>
      </c>
      <c r="H576" t="s">
        <v>1106</v>
      </c>
      <c r="I576" t="s">
        <v>1851</v>
      </c>
      <c r="J576" t="s">
        <v>1323</v>
      </c>
      <c r="K576" s="3">
        <v>1</v>
      </c>
      <c r="L576" s="4">
        <v>80</v>
      </c>
      <c r="O576" t="s">
        <v>2</v>
      </c>
      <c r="P576" t="s">
        <v>761</v>
      </c>
      <c r="Q576" s="2">
        <v>0</v>
      </c>
      <c r="R576" s="5">
        <v>80</v>
      </c>
      <c r="S576" s="5">
        <v>0</v>
      </c>
      <c r="T576" s="2">
        <v>80</v>
      </c>
      <c r="U576" t="s">
        <v>3</v>
      </c>
      <c r="V576" t="s">
        <v>201</v>
      </c>
      <c r="W576" s="5">
        <v>94.96</v>
      </c>
    </row>
    <row r="577" spans="1:23" ht="15" x14ac:dyDescent="0.2">
      <c r="A577" t="s">
        <v>1009</v>
      </c>
      <c r="B577" s="1">
        <f>45919</f>
        <v>45919</v>
      </c>
      <c r="C577" t="s">
        <v>0</v>
      </c>
      <c r="D577">
        <v>108108</v>
      </c>
      <c r="E577" s="2">
        <v>25004670</v>
      </c>
      <c r="F577" s="2">
        <v>1</v>
      </c>
      <c r="G577" t="s">
        <v>1547</v>
      </c>
      <c r="H577" t="s">
        <v>1226</v>
      </c>
      <c r="I577" t="s">
        <v>1893</v>
      </c>
      <c r="J577" t="s">
        <v>1323</v>
      </c>
      <c r="K577" s="3">
        <v>1</v>
      </c>
      <c r="L577" s="4">
        <v>31</v>
      </c>
      <c r="O577" t="s">
        <v>2</v>
      </c>
      <c r="P577" t="s">
        <v>762</v>
      </c>
      <c r="Q577" s="2">
        <v>0</v>
      </c>
      <c r="R577" s="5">
        <v>31</v>
      </c>
      <c r="S577" s="5">
        <v>0</v>
      </c>
      <c r="T577" s="2">
        <v>31</v>
      </c>
      <c r="U577" t="s">
        <v>3</v>
      </c>
      <c r="V577" t="s">
        <v>49</v>
      </c>
      <c r="W577" s="5">
        <v>26.05</v>
      </c>
    </row>
    <row r="578" spans="1:23" ht="15" x14ac:dyDescent="0.2">
      <c r="A578" t="s">
        <v>1009</v>
      </c>
      <c r="B578" s="1">
        <f>45919</f>
        <v>45919</v>
      </c>
      <c r="C578" t="s">
        <v>0</v>
      </c>
      <c r="D578">
        <v>108108</v>
      </c>
      <c r="E578" s="2">
        <v>25004671</v>
      </c>
      <c r="F578" s="2">
        <v>1</v>
      </c>
      <c r="G578" t="s">
        <v>1578</v>
      </c>
      <c r="H578" t="s">
        <v>1256</v>
      </c>
      <c r="I578" t="s">
        <v>1833</v>
      </c>
      <c r="J578" t="s">
        <v>1323</v>
      </c>
      <c r="K578" s="3">
        <v>1</v>
      </c>
      <c r="L578" s="4">
        <v>29.9</v>
      </c>
      <c r="O578" t="s">
        <v>2</v>
      </c>
      <c r="P578" t="s">
        <v>763</v>
      </c>
      <c r="Q578" s="2">
        <v>0</v>
      </c>
      <c r="R578" s="5">
        <v>29.9</v>
      </c>
      <c r="S578" s="5">
        <v>0</v>
      </c>
      <c r="T578" s="2">
        <v>30</v>
      </c>
      <c r="U578" t="s">
        <v>3</v>
      </c>
      <c r="V578" t="s">
        <v>184</v>
      </c>
      <c r="W578" s="5">
        <v>25.13</v>
      </c>
    </row>
    <row r="579" spans="1:23" ht="15" x14ac:dyDescent="0.2">
      <c r="A579" t="s">
        <v>1009</v>
      </c>
      <c r="B579" s="1">
        <f>45919</f>
        <v>45919</v>
      </c>
      <c r="C579" t="s">
        <v>0</v>
      </c>
      <c r="D579">
        <v>108108</v>
      </c>
      <c r="E579" s="2">
        <v>25004672</v>
      </c>
      <c r="F579" s="2">
        <v>1</v>
      </c>
      <c r="G579" t="s">
        <v>1332</v>
      </c>
      <c r="H579" t="s">
        <v>362</v>
      </c>
      <c r="I579" t="s">
        <v>1894</v>
      </c>
      <c r="J579" t="s">
        <v>1323</v>
      </c>
      <c r="K579" s="3">
        <v>1</v>
      </c>
      <c r="L579" s="4">
        <v>5</v>
      </c>
      <c r="O579" t="s">
        <v>2</v>
      </c>
      <c r="P579" t="s">
        <v>764</v>
      </c>
      <c r="Q579" s="2">
        <v>0</v>
      </c>
      <c r="R579" s="5">
        <v>5</v>
      </c>
      <c r="S579" s="5">
        <v>0</v>
      </c>
      <c r="T579" s="2">
        <v>5</v>
      </c>
      <c r="U579" t="s">
        <v>3</v>
      </c>
      <c r="V579" t="s">
        <v>239</v>
      </c>
      <c r="W579" s="5">
        <v>4.2</v>
      </c>
    </row>
    <row r="580" spans="1:23" ht="15" x14ac:dyDescent="0.2">
      <c r="A580" t="s">
        <v>1009</v>
      </c>
      <c r="B580" s="1">
        <f>45919</f>
        <v>45919</v>
      </c>
      <c r="C580" t="s">
        <v>0</v>
      </c>
      <c r="D580">
        <v>108108</v>
      </c>
      <c r="E580" s="2">
        <v>25004673</v>
      </c>
      <c r="F580" s="2">
        <v>1</v>
      </c>
      <c r="G580" t="s">
        <v>1490</v>
      </c>
      <c r="H580" t="s">
        <v>1171</v>
      </c>
      <c r="I580" t="s">
        <v>1895</v>
      </c>
      <c r="J580" t="s">
        <v>1323</v>
      </c>
      <c r="K580" s="3">
        <v>1</v>
      </c>
      <c r="L580" s="4">
        <v>22.9</v>
      </c>
      <c r="O580" t="s">
        <v>2</v>
      </c>
      <c r="P580" t="s">
        <v>765</v>
      </c>
      <c r="Q580" s="2">
        <v>0</v>
      </c>
      <c r="R580" s="5">
        <v>22.9</v>
      </c>
      <c r="S580" s="5">
        <v>0</v>
      </c>
      <c r="T580" s="2">
        <v>23</v>
      </c>
      <c r="U580" t="s">
        <v>3</v>
      </c>
      <c r="V580" t="s">
        <v>240</v>
      </c>
      <c r="W580" s="5">
        <v>44.44</v>
      </c>
    </row>
    <row r="581" spans="1:23" ht="15" x14ac:dyDescent="0.2">
      <c r="A581" t="s">
        <v>1009</v>
      </c>
      <c r="B581" s="1">
        <f>45919</f>
        <v>45919</v>
      </c>
      <c r="C581" t="s">
        <v>0</v>
      </c>
      <c r="D581">
        <v>108108</v>
      </c>
      <c r="E581" s="2">
        <v>25004673</v>
      </c>
      <c r="F581" s="2">
        <v>2</v>
      </c>
      <c r="G581" t="s">
        <v>1555</v>
      </c>
      <c r="H581" t="s">
        <v>1234</v>
      </c>
      <c r="I581" t="s">
        <v>1895</v>
      </c>
      <c r="J581" t="s">
        <v>1323</v>
      </c>
      <c r="K581" s="3">
        <v>1</v>
      </c>
      <c r="L581" s="4">
        <v>6</v>
      </c>
      <c r="O581" t="s">
        <v>2</v>
      </c>
      <c r="P581" t="s">
        <v>765</v>
      </c>
      <c r="Q581" s="2">
        <v>0</v>
      </c>
      <c r="R581" s="5">
        <v>6</v>
      </c>
      <c r="S581" s="5">
        <v>0</v>
      </c>
      <c r="T581" s="2">
        <v>6</v>
      </c>
      <c r="U581" t="s">
        <v>3</v>
      </c>
      <c r="V581" t="s">
        <v>240</v>
      </c>
      <c r="W581" s="5">
        <v>44.44</v>
      </c>
    </row>
    <row r="582" spans="1:23" ht="15" x14ac:dyDescent="0.2">
      <c r="A582" t="s">
        <v>1009</v>
      </c>
      <c r="B582" s="1">
        <f>45919</f>
        <v>45919</v>
      </c>
      <c r="C582" t="s">
        <v>0</v>
      </c>
      <c r="D582">
        <v>108108</v>
      </c>
      <c r="E582" s="2">
        <v>25004673</v>
      </c>
      <c r="F582" s="2">
        <v>3</v>
      </c>
      <c r="G582" t="s">
        <v>1579</v>
      </c>
      <c r="H582" t="s">
        <v>1257</v>
      </c>
      <c r="I582" t="s">
        <v>1895</v>
      </c>
      <c r="J582" t="s">
        <v>1323</v>
      </c>
      <c r="K582" s="3">
        <v>1</v>
      </c>
      <c r="L582" s="4">
        <v>6</v>
      </c>
      <c r="O582" t="s">
        <v>2</v>
      </c>
      <c r="P582" t="s">
        <v>765</v>
      </c>
      <c r="Q582" s="2">
        <v>0</v>
      </c>
      <c r="R582" s="5">
        <v>6</v>
      </c>
      <c r="S582" s="5">
        <v>0</v>
      </c>
      <c r="T582" s="2">
        <v>6</v>
      </c>
      <c r="U582" t="s">
        <v>3</v>
      </c>
      <c r="V582" t="s">
        <v>240</v>
      </c>
      <c r="W582" s="5">
        <v>44.44</v>
      </c>
    </row>
    <row r="583" spans="1:23" ht="15" x14ac:dyDescent="0.2">
      <c r="A583" t="s">
        <v>1009</v>
      </c>
      <c r="B583" s="1">
        <f>45919</f>
        <v>45919</v>
      </c>
      <c r="C583" t="s">
        <v>0</v>
      </c>
      <c r="D583">
        <v>108108</v>
      </c>
      <c r="E583" s="2">
        <v>25004673</v>
      </c>
      <c r="F583" s="2">
        <v>4</v>
      </c>
      <c r="G583" t="s">
        <v>1580</v>
      </c>
      <c r="H583" t="s">
        <v>1258</v>
      </c>
      <c r="I583" t="s">
        <v>1895</v>
      </c>
      <c r="J583" t="s">
        <v>1323</v>
      </c>
      <c r="K583" s="3">
        <v>1</v>
      </c>
      <c r="L583" s="4">
        <v>6</v>
      </c>
      <c r="O583" t="s">
        <v>2</v>
      </c>
      <c r="P583" t="s">
        <v>765</v>
      </c>
      <c r="Q583" s="2">
        <v>0</v>
      </c>
      <c r="R583" s="5">
        <v>6</v>
      </c>
      <c r="S583" s="5">
        <v>0</v>
      </c>
      <c r="T583" s="2">
        <v>6</v>
      </c>
      <c r="U583" t="s">
        <v>3</v>
      </c>
      <c r="V583" t="s">
        <v>240</v>
      </c>
      <c r="W583" s="5">
        <v>44.44</v>
      </c>
    </row>
    <row r="584" spans="1:23" ht="15" x14ac:dyDescent="0.2">
      <c r="A584" t="s">
        <v>1009</v>
      </c>
      <c r="B584" s="1">
        <f>45919</f>
        <v>45919</v>
      </c>
      <c r="C584" t="s">
        <v>0</v>
      </c>
      <c r="D584">
        <v>108108</v>
      </c>
      <c r="E584" s="2">
        <v>25004673</v>
      </c>
      <c r="F584" s="2">
        <v>5</v>
      </c>
      <c r="G584" t="s">
        <v>1581</v>
      </c>
      <c r="H584" t="s">
        <v>1259</v>
      </c>
      <c r="I584" t="s">
        <v>1895</v>
      </c>
      <c r="J584" t="s">
        <v>1323</v>
      </c>
      <c r="K584" s="3">
        <v>1</v>
      </c>
      <c r="L584" s="4">
        <v>6</v>
      </c>
      <c r="O584" t="s">
        <v>2</v>
      </c>
      <c r="P584" t="s">
        <v>765</v>
      </c>
      <c r="Q584" s="2">
        <v>0</v>
      </c>
      <c r="R584" s="5">
        <v>6</v>
      </c>
      <c r="S584" s="5">
        <v>0</v>
      </c>
      <c r="T584" s="2">
        <v>6</v>
      </c>
      <c r="U584" t="s">
        <v>3</v>
      </c>
      <c r="V584" t="s">
        <v>240</v>
      </c>
      <c r="W584" s="5">
        <v>44.44</v>
      </c>
    </row>
    <row r="585" spans="1:23" ht="15" x14ac:dyDescent="0.2">
      <c r="A585" t="s">
        <v>1009</v>
      </c>
      <c r="B585" s="1">
        <f>45919</f>
        <v>45919</v>
      </c>
      <c r="C585" t="s">
        <v>0</v>
      </c>
      <c r="D585">
        <v>108108</v>
      </c>
      <c r="E585" s="2">
        <v>25004673</v>
      </c>
      <c r="F585" s="2">
        <v>6</v>
      </c>
      <c r="G585" t="s">
        <v>1582</v>
      </c>
      <c r="H585" t="s">
        <v>1260</v>
      </c>
      <c r="I585" t="s">
        <v>1895</v>
      </c>
      <c r="J585" t="s">
        <v>1323</v>
      </c>
      <c r="K585" s="3">
        <v>1</v>
      </c>
      <c r="L585" s="4">
        <v>6</v>
      </c>
      <c r="O585" t="s">
        <v>2</v>
      </c>
      <c r="P585" t="s">
        <v>765</v>
      </c>
      <c r="Q585" s="2">
        <v>0</v>
      </c>
      <c r="R585" s="5">
        <v>6</v>
      </c>
      <c r="S585" s="5">
        <v>0</v>
      </c>
      <c r="T585" s="2">
        <v>6</v>
      </c>
      <c r="U585" t="s">
        <v>3</v>
      </c>
      <c r="V585" t="s">
        <v>240</v>
      </c>
      <c r="W585" s="5">
        <v>44.44</v>
      </c>
    </row>
    <row r="586" spans="1:23" ht="15" x14ac:dyDescent="0.2">
      <c r="A586" t="s">
        <v>1009</v>
      </c>
      <c r="B586" s="1">
        <f>45919</f>
        <v>45919</v>
      </c>
      <c r="C586" t="s">
        <v>0</v>
      </c>
      <c r="D586">
        <v>108108</v>
      </c>
      <c r="E586" s="2">
        <v>25004674</v>
      </c>
      <c r="F586" s="2">
        <v>1</v>
      </c>
      <c r="G586" t="s">
        <v>1447</v>
      </c>
      <c r="H586" t="s">
        <v>1129</v>
      </c>
      <c r="I586" t="s">
        <v>1647</v>
      </c>
      <c r="J586" t="s">
        <v>1323</v>
      </c>
      <c r="K586" s="3">
        <v>1</v>
      </c>
      <c r="L586" s="4">
        <v>26.9</v>
      </c>
      <c r="O586" t="s">
        <v>2</v>
      </c>
      <c r="P586" t="s">
        <v>766</v>
      </c>
      <c r="Q586" s="2">
        <v>0</v>
      </c>
      <c r="R586" s="5">
        <v>26.9</v>
      </c>
      <c r="S586" s="5">
        <v>0</v>
      </c>
      <c r="T586" s="2">
        <v>27</v>
      </c>
      <c r="U586" t="s">
        <v>3</v>
      </c>
      <c r="V586" t="s">
        <v>1322</v>
      </c>
      <c r="W586" s="5">
        <v>22.61</v>
      </c>
    </row>
    <row r="587" spans="1:23" ht="15" x14ac:dyDescent="0.2">
      <c r="A587" t="s">
        <v>1009</v>
      </c>
      <c r="B587" s="1">
        <f>45919</f>
        <v>45919</v>
      </c>
      <c r="C587" t="s">
        <v>0</v>
      </c>
      <c r="D587">
        <v>108108</v>
      </c>
      <c r="E587" s="2">
        <v>25004675</v>
      </c>
      <c r="F587" s="2">
        <v>1</v>
      </c>
      <c r="G587" t="s">
        <v>1351</v>
      </c>
      <c r="H587" t="s">
        <v>1033</v>
      </c>
      <c r="I587" t="s">
        <v>1647</v>
      </c>
      <c r="J587" t="s">
        <v>1323</v>
      </c>
      <c r="K587" s="3">
        <v>1</v>
      </c>
      <c r="L587" s="4">
        <v>21.9</v>
      </c>
      <c r="O587" t="s">
        <v>2</v>
      </c>
      <c r="P587" t="s">
        <v>767</v>
      </c>
      <c r="Q587" s="2">
        <v>0</v>
      </c>
      <c r="R587" s="5">
        <v>21.9</v>
      </c>
      <c r="S587" s="5">
        <v>0</v>
      </c>
      <c r="T587" s="2">
        <v>22</v>
      </c>
      <c r="U587" t="s">
        <v>3</v>
      </c>
      <c r="V587" t="s">
        <v>1322</v>
      </c>
      <c r="W587" s="5">
        <v>18.399999999999999</v>
      </c>
    </row>
    <row r="588" spans="1:23" ht="15" x14ac:dyDescent="0.2">
      <c r="A588" t="s">
        <v>1009</v>
      </c>
      <c r="B588" s="1">
        <f>45919</f>
        <v>45919</v>
      </c>
      <c r="C588" t="s">
        <v>0</v>
      </c>
      <c r="D588">
        <v>108108</v>
      </c>
      <c r="E588" s="2">
        <v>25004676</v>
      </c>
      <c r="F588" s="2">
        <v>1</v>
      </c>
      <c r="G588" t="s">
        <v>1646</v>
      </c>
      <c r="H588" t="s">
        <v>361</v>
      </c>
      <c r="I588" t="s">
        <v>1647</v>
      </c>
      <c r="J588" t="s">
        <v>1323</v>
      </c>
      <c r="K588" s="3">
        <v>1</v>
      </c>
      <c r="L588" s="4">
        <v>-450</v>
      </c>
      <c r="Q588" s="2">
        <v>0</v>
      </c>
      <c r="R588" s="5">
        <v>-450</v>
      </c>
      <c r="S588" s="5">
        <v>0</v>
      </c>
      <c r="T588" s="2">
        <v>-450</v>
      </c>
      <c r="U588" t="s">
        <v>1</v>
      </c>
      <c r="V588" t="s">
        <v>361</v>
      </c>
      <c r="W588" s="5">
        <v>-450</v>
      </c>
    </row>
    <row r="589" spans="1:23" ht="15" x14ac:dyDescent="0.2">
      <c r="A589" t="s">
        <v>1009</v>
      </c>
      <c r="B589" s="1">
        <f>45920</f>
        <v>45920</v>
      </c>
      <c r="C589" t="s">
        <v>0</v>
      </c>
      <c r="D589">
        <v>108108</v>
      </c>
      <c r="E589" s="2">
        <v>25004677</v>
      </c>
      <c r="F589" s="2">
        <v>1</v>
      </c>
      <c r="G589" t="s">
        <v>1646</v>
      </c>
      <c r="H589" t="s">
        <v>361</v>
      </c>
      <c r="I589" t="s">
        <v>1647</v>
      </c>
      <c r="J589" t="s">
        <v>1324</v>
      </c>
      <c r="K589" s="3">
        <v>1</v>
      </c>
      <c r="L589" s="4">
        <v>450</v>
      </c>
      <c r="Q589" s="2">
        <v>0</v>
      </c>
      <c r="R589" s="5">
        <v>450</v>
      </c>
      <c r="S589" s="5">
        <v>0</v>
      </c>
      <c r="T589" s="2">
        <v>450</v>
      </c>
      <c r="U589" t="s">
        <v>1</v>
      </c>
      <c r="V589" t="s">
        <v>361</v>
      </c>
      <c r="W589" s="5">
        <v>450</v>
      </c>
    </row>
    <row r="590" spans="1:23" ht="15" x14ac:dyDescent="0.2">
      <c r="A590" t="s">
        <v>1009</v>
      </c>
      <c r="B590" s="1">
        <f>45920</f>
        <v>45920</v>
      </c>
      <c r="C590" t="s">
        <v>0</v>
      </c>
      <c r="D590">
        <v>108108</v>
      </c>
      <c r="E590" s="2">
        <v>25004678</v>
      </c>
      <c r="F590" s="2">
        <v>1</v>
      </c>
      <c r="G590" t="s">
        <v>1352</v>
      </c>
      <c r="H590" t="s">
        <v>1034</v>
      </c>
      <c r="I590" t="s">
        <v>1647</v>
      </c>
      <c r="J590" t="s">
        <v>1324</v>
      </c>
      <c r="K590" s="3">
        <v>1</v>
      </c>
      <c r="L590" s="4">
        <v>9.9</v>
      </c>
      <c r="O590" t="s">
        <v>2</v>
      </c>
      <c r="P590" t="s">
        <v>768</v>
      </c>
      <c r="Q590" s="2">
        <v>0</v>
      </c>
      <c r="R590" s="5">
        <v>9.9</v>
      </c>
      <c r="S590" s="5">
        <v>0</v>
      </c>
      <c r="T590" s="2">
        <v>10</v>
      </c>
      <c r="U590" t="s">
        <v>3</v>
      </c>
      <c r="V590" t="s">
        <v>1322</v>
      </c>
      <c r="W590" s="5">
        <v>8.32</v>
      </c>
    </row>
    <row r="591" spans="1:23" ht="15" x14ac:dyDescent="0.2">
      <c r="A591" t="s">
        <v>1009</v>
      </c>
      <c r="B591" s="1">
        <f>45920</f>
        <v>45920</v>
      </c>
      <c r="C591" t="s">
        <v>0</v>
      </c>
      <c r="D591">
        <v>108108</v>
      </c>
      <c r="E591" s="2">
        <v>25004679</v>
      </c>
      <c r="F591" s="2">
        <v>1</v>
      </c>
      <c r="G591" t="s">
        <v>1514</v>
      </c>
      <c r="H591" t="s">
        <v>1195</v>
      </c>
      <c r="I591" t="s">
        <v>1647</v>
      </c>
      <c r="J591" t="s">
        <v>1324</v>
      </c>
      <c r="K591" s="3">
        <v>1</v>
      </c>
      <c r="L591" s="4">
        <v>17.899999999999999</v>
      </c>
      <c r="O591" t="s">
        <v>2</v>
      </c>
      <c r="P591" t="s">
        <v>769</v>
      </c>
      <c r="Q591" s="2">
        <v>0</v>
      </c>
      <c r="R591" s="5">
        <v>17.899999999999999</v>
      </c>
      <c r="S591" s="5">
        <v>0</v>
      </c>
      <c r="T591" s="2">
        <v>18</v>
      </c>
      <c r="U591" t="s">
        <v>3</v>
      </c>
      <c r="V591" t="s">
        <v>1322</v>
      </c>
      <c r="W591" s="5">
        <v>15.04</v>
      </c>
    </row>
    <row r="592" spans="1:23" ht="15" x14ac:dyDescent="0.2">
      <c r="A592" t="s">
        <v>1009</v>
      </c>
      <c r="B592" s="1">
        <f>45920</f>
        <v>45920</v>
      </c>
      <c r="C592" t="s">
        <v>0</v>
      </c>
      <c r="D592">
        <v>108108</v>
      </c>
      <c r="E592" s="2">
        <v>25004680</v>
      </c>
      <c r="F592" s="2">
        <v>1</v>
      </c>
      <c r="G592" t="s">
        <v>1438</v>
      </c>
      <c r="H592" t="s">
        <v>1120</v>
      </c>
      <c r="I592" t="s">
        <v>1888</v>
      </c>
      <c r="J592" t="s">
        <v>1324</v>
      </c>
      <c r="K592" s="3">
        <v>1</v>
      </c>
      <c r="L592" s="4">
        <v>26.9</v>
      </c>
      <c r="O592" t="s">
        <v>2</v>
      </c>
      <c r="P592" t="s">
        <v>770</v>
      </c>
      <c r="Q592" s="2">
        <v>0</v>
      </c>
      <c r="R592" s="5">
        <v>26.9</v>
      </c>
      <c r="S592" s="5">
        <v>0</v>
      </c>
      <c r="T592" s="2">
        <v>27</v>
      </c>
      <c r="U592" t="s">
        <v>3</v>
      </c>
      <c r="V592" t="s">
        <v>236</v>
      </c>
      <c r="W592" s="5">
        <v>22.61</v>
      </c>
    </row>
    <row r="593" spans="1:23" ht="15" x14ac:dyDescent="0.2">
      <c r="A593" t="s">
        <v>1009</v>
      </c>
      <c r="B593" s="1">
        <f>45920</f>
        <v>45920</v>
      </c>
      <c r="C593" t="s">
        <v>0</v>
      </c>
      <c r="D593">
        <v>108108</v>
      </c>
      <c r="E593" s="2">
        <v>25004681</v>
      </c>
      <c r="F593" s="2">
        <v>1</v>
      </c>
      <c r="G593" t="s">
        <v>1503</v>
      </c>
      <c r="H593" t="s">
        <v>1184</v>
      </c>
      <c r="I593" t="s">
        <v>1891</v>
      </c>
      <c r="J593" t="s">
        <v>1324</v>
      </c>
      <c r="K593" s="3">
        <v>1</v>
      </c>
      <c r="L593" s="4">
        <v>27.9</v>
      </c>
      <c r="O593" t="s">
        <v>2</v>
      </c>
      <c r="P593" t="s">
        <v>771</v>
      </c>
      <c r="Q593" s="2">
        <v>0</v>
      </c>
      <c r="R593" s="5">
        <v>27.9</v>
      </c>
      <c r="S593" s="5">
        <v>0</v>
      </c>
      <c r="T593" s="2">
        <v>28</v>
      </c>
      <c r="U593" t="s">
        <v>3</v>
      </c>
      <c r="V593" t="s">
        <v>66</v>
      </c>
      <c r="W593" s="5">
        <v>27.65</v>
      </c>
    </row>
    <row r="594" spans="1:23" ht="15" x14ac:dyDescent="0.2">
      <c r="A594" t="s">
        <v>1009</v>
      </c>
      <c r="B594" s="1">
        <f>45920</f>
        <v>45920</v>
      </c>
      <c r="C594" t="s">
        <v>0</v>
      </c>
      <c r="D594">
        <v>108108</v>
      </c>
      <c r="E594" s="2">
        <v>25004681</v>
      </c>
      <c r="F594" s="2">
        <v>2</v>
      </c>
      <c r="G594" t="s">
        <v>1332</v>
      </c>
      <c r="H594" t="s">
        <v>362</v>
      </c>
      <c r="I594" t="s">
        <v>1891</v>
      </c>
      <c r="J594" t="s">
        <v>1324</v>
      </c>
      <c r="K594" s="3">
        <v>1</v>
      </c>
      <c r="L594" s="4">
        <v>5</v>
      </c>
      <c r="O594" t="s">
        <v>2</v>
      </c>
      <c r="P594" t="s">
        <v>771</v>
      </c>
      <c r="Q594" s="2">
        <v>0</v>
      </c>
      <c r="R594" s="5">
        <v>5</v>
      </c>
      <c r="S594" s="5">
        <v>0</v>
      </c>
      <c r="T594" s="2">
        <v>5</v>
      </c>
      <c r="U594" t="s">
        <v>3</v>
      </c>
      <c r="V594" t="s">
        <v>66</v>
      </c>
      <c r="W594" s="5">
        <v>27.65</v>
      </c>
    </row>
    <row r="595" spans="1:23" ht="15" x14ac:dyDescent="0.2">
      <c r="A595" t="s">
        <v>1009</v>
      </c>
      <c r="B595" s="1">
        <f>45920</f>
        <v>45920</v>
      </c>
      <c r="C595" t="s">
        <v>0</v>
      </c>
      <c r="D595">
        <v>108108</v>
      </c>
      <c r="E595" s="2">
        <v>25004682</v>
      </c>
      <c r="F595" s="2">
        <v>1</v>
      </c>
      <c r="G595" t="s">
        <v>1332</v>
      </c>
      <c r="H595" t="s">
        <v>362</v>
      </c>
      <c r="I595" t="s">
        <v>1896</v>
      </c>
      <c r="J595" t="s">
        <v>1324</v>
      </c>
      <c r="K595" s="3">
        <v>1</v>
      </c>
      <c r="L595" s="4">
        <v>5</v>
      </c>
      <c r="O595" t="s">
        <v>2</v>
      </c>
      <c r="P595" t="s">
        <v>772</v>
      </c>
      <c r="Q595" s="2">
        <v>0</v>
      </c>
      <c r="R595" s="5">
        <v>5</v>
      </c>
      <c r="S595" s="5">
        <v>0</v>
      </c>
      <c r="T595" s="2">
        <v>5</v>
      </c>
      <c r="U595" t="s">
        <v>3</v>
      </c>
      <c r="V595" t="s">
        <v>241</v>
      </c>
      <c r="W595" s="5">
        <v>57.06</v>
      </c>
    </row>
    <row r="596" spans="1:23" ht="15" x14ac:dyDescent="0.2">
      <c r="A596" t="s">
        <v>1009</v>
      </c>
      <c r="B596" s="1">
        <f>45920</f>
        <v>45920</v>
      </c>
      <c r="C596" t="s">
        <v>0</v>
      </c>
      <c r="D596">
        <v>108108</v>
      </c>
      <c r="E596" s="2">
        <v>25004682</v>
      </c>
      <c r="F596" s="2">
        <v>2</v>
      </c>
      <c r="G596" t="s">
        <v>1583</v>
      </c>
      <c r="H596" t="s">
        <v>1261</v>
      </c>
      <c r="I596" t="s">
        <v>1896</v>
      </c>
      <c r="J596" t="s">
        <v>1324</v>
      </c>
      <c r="K596" s="3">
        <v>1</v>
      </c>
      <c r="L596" s="4">
        <v>17.899999999999999</v>
      </c>
      <c r="O596" t="s">
        <v>2</v>
      </c>
      <c r="P596" t="s">
        <v>772</v>
      </c>
      <c r="Q596" s="2">
        <v>0</v>
      </c>
      <c r="R596" s="5">
        <v>17.899999999999999</v>
      </c>
      <c r="S596" s="5">
        <v>0</v>
      </c>
      <c r="T596" s="2">
        <v>18</v>
      </c>
      <c r="U596" t="s">
        <v>3</v>
      </c>
      <c r="V596" t="s">
        <v>241</v>
      </c>
      <c r="W596" s="5">
        <v>57.06</v>
      </c>
    </row>
    <row r="597" spans="1:23" ht="15" x14ac:dyDescent="0.2">
      <c r="A597" t="s">
        <v>1009</v>
      </c>
      <c r="B597" s="1">
        <f>45920</f>
        <v>45920</v>
      </c>
      <c r="C597" t="s">
        <v>0</v>
      </c>
      <c r="D597">
        <v>108108</v>
      </c>
      <c r="E597" s="2">
        <v>25004682</v>
      </c>
      <c r="F597" s="2">
        <v>3</v>
      </c>
      <c r="G597" t="s">
        <v>1584</v>
      </c>
      <c r="H597" t="s">
        <v>1262</v>
      </c>
      <c r="I597" t="s">
        <v>1896</v>
      </c>
      <c r="J597" t="s">
        <v>1324</v>
      </c>
      <c r="K597" s="3">
        <v>1</v>
      </c>
      <c r="L597" s="4">
        <v>45</v>
      </c>
      <c r="O597" t="s">
        <v>2</v>
      </c>
      <c r="P597" t="s">
        <v>772</v>
      </c>
      <c r="Q597" s="2">
        <v>40</v>
      </c>
      <c r="R597" s="5">
        <v>75</v>
      </c>
      <c r="S597" s="5">
        <v>30</v>
      </c>
      <c r="T597" s="2">
        <v>45</v>
      </c>
      <c r="U597" t="s">
        <v>3</v>
      </c>
      <c r="V597" t="s">
        <v>241</v>
      </c>
      <c r="W597" s="5">
        <v>57.06</v>
      </c>
    </row>
    <row r="598" spans="1:23" ht="15" x14ac:dyDescent="0.2">
      <c r="A598" t="s">
        <v>1009</v>
      </c>
      <c r="B598" s="1">
        <f>45920</f>
        <v>45920</v>
      </c>
      <c r="C598" t="s">
        <v>0</v>
      </c>
      <c r="D598">
        <v>108108</v>
      </c>
      <c r="E598" s="2">
        <v>25004683</v>
      </c>
      <c r="F598" s="2">
        <v>1</v>
      </c>
      <c r="G598" t="s">
        <v>1336</v>
      </c>
      <c r="H598" t="s">
        <v>1018</v>
      </c>
      <c r="I598" t="s">
        <v>1897</v>
      </c>
      <c r="J598" t="s">
        <v>1324</v>
      </c>
      <c r="K598" s="3">
        <v>1</v>
      </c>
      <c r="L598" s="4">
        <v>23.9</v>
      </c>
      <c r="O598" t="s">
        <v>2</v>
      </c>
      <c r="P598" t="s">
        <v>773</v>
      </c>
      <c r="Q598" s="2">
        <v>0</v>
      </c>
      <c r="R598" s="5">
        <v>23.9</v>
      </c>
      <c r="S598" s="5">
        <v>0</v>
      </c>
      <c r="T598" s="2">
        <v>24</v>
      </c>
      <c r="U598" t="s">
        <v>3</v>
      </c>
      <c r="V598" t="s">
        <v>242</v>
      </c>
      <c r="W598" s="5">
        <v>20.079999999999998</v>
      </c>
    </row>
    <row r="599" spans="1:23" ht="15" x14ac:dyDescent="0.2">
      <c r="A599" t="s">
        <v>1009</v>
      </c>
      <c r="B599" s="1">
        <f>45920</f>
        <v>45920</v>
      </c>
      <c r="C599" t="s">
        <v>0</v>
      </c>
      <c r="D599">
        <v>108108</v>
      </c>
      <c r="E599" s="2">
        <v>25004684</v>
      </c>
      <c r="F599" s="2">
        <v>1</v>
      </c>
      <c r="G599" t="s">
        <v>1571</v>
      </c>
      <c r="H599" t="s">
        <v>1249</v>
      </c>
      <c r="I599" t="s">
        <v>1898</v>
      </c>
      <c r="J599" t="s">
        <v>1324</v>
      </c>
      <c r="K599" s="3">
        <v>1</v>
      </c>
      <c r="L599" s="4">
        <v>27.9</v>
      </c>
      <c r="O599" t="s">
        <v>2</v>
      </c>
      <c r="P599" t="s">
        <v>774</v>
      </c>
      <c r="Q599" s="2">
        <v>0</v>
      </c>
      <c r="R599" s="5">
        <v>27.9</v>
      </c>
      <c r="S599" s="5">
        <v>0</v>
      </c>
      <c r="T599" s="2">
        <v>28</v>
      </c>
      <c r="U599" t="s">
        <v>3</v>
      </c>
      <c r="V599" t="s">
        <v>243</v>
      </c>
      <c r="W599" s="5">
        <v>52.85</v>
      </c>
    </row>
    <row r="600" spans="1:23" ht="15" x14ac:dyDescent="0.2">
      <c r="A600" t="s">
        <v>1009</v>
      </c>
      <c r="B600" s="1">
        <f>45920</f>
        <v>45920</v>
      </c>
      <c r="C600" t="s">
        <v>0</v>
      </c>
      <c r="D600">
        <v>108108</v>
      </c>
      <c r="E600" s="2">
        <v>25004684</v>
      </c>
      <c r="F600" s="2">
        <v>2</v>
      </c>
      <c r="G600" t="s">
        <v>1332</v>
      </c>
      <c r="H600" t="s">
        <v>362</v>
      </c>
      <c r="I600" t="s">
        <v>1898</v>
      </c>
      <c r="J600" t="s">
        <v>1324</v>
      </c>
      <c r="K600" s="3">
        <v>1</v>
      </c>
      <c r="L600" s="4">
        <v>5</v>
      </c>
      <c r="O600" t="s">
        <v>2</v>
      </c>
      <c r="P600" t="s">
        <v>774</v>
      </c>
      <c r="Q600" s="2">
        <v>0</v>
      </c>
      <c r="R600" s="5">
        <v>5</v>
      </c>
      <c r="S600" s="5">
        <v>0</v>
      </c>
      <c r="T600" s="2">
        <v>5</v>
      </c>
      <c r="U600" t="s">
        <v>3</v>
      </c>
      <c r="V600" t="s">
        <v>243</v>
      </c>
      <c r="W600" s="5">
        <v>52.85</v>
      </c>
    </row>
    <row r="601" spans="1:23" ht="15" x14ac:dyDescent="0.2">
      <c r="A601" t="s">
        <v>1009</v>
      </c>
      <c r="B601" s="1">
        <f>45920</f>
        <v>45920</v>
      </c>
      <c r="C601" t="s">
        <v>0</v>
      </c>
      <c r="D601">
        <v>108108</v>
      </c>
      <c r="E601" s="2">
        <v>25004684</v>
      </c>
      <c r="F601" s="2">
        <v>3</v>
      </c>
      <c r="G601" t="s">
        <v>1410</v>
      </c>
      <c r="H601" t="s">
        <v>1092</v>
      </c>
      <c r="I601" t="s">
        <v>1898</v>
      </c>
      <c r="J601" t="s">
        <v>1324</v>
      </c>
      <c r="K601" s="3">
        <v>1</v>
      </c>
      <c r="L601" s="4">
        <v>6</v>
      </c>
      <c r="O601" t="s">
        <v>2</v>
      </c>
      <c r="P601" t="s">
        <v>774</v>
      </c>
      <c r="Q601" s="2">
        <v>0</v>
      </c>
      <c r="R601" s="5">
        <v>6</v>
      </c>
      <c r="S601" s="5">
        <v>0</v>
      </c>
      <c r="T601" s="2">
        <v>6</v>
      </c>
      <c r="U601" t="s">
        <v>3</v>
      </c>
      <c r="V601" t="s">
        <v>243</v>
      </c>
      <c r="W601" s="5">
        <v>52.85</v>
      </c>
    </row>
    <row r="602" spans="1:23" ht="15" x14ac:dyDescent="0.2">
      <c r="A602" t="s">
        <v>1009</v>
      </c>
      <c r="B602" s="1">
        <f>45920</f>
        <v>45920</v>
      </c>
      <c r="C602" t="s">
        <v>0</v>
      </c>
      <c r="D602">
        <v>108108</v>
      </c>
      <c r="E602" s="2">
        <v>25004684</v>
      </c>
      <c r="F602" s="2">
        <v>4</v>
      </c>
      <c r="G602" t="s">
        <v>1585</v>
      </c>
      <c r="H602" t="s">
        <v>1263</v>
      </c>
      <c r="I602" t="s">
        <v>1898</v>
      </c>
      <c r="J602" t="s">
        <v>1324</v>
      </c>
      <c r="K602" s="3">
        <v>1</v>
      </c>
      <c r="L602" s="4">
        <v>6</v>
      </c>
      <c r="O602" t="s">
        <v>2</v>
      </c>
      <c r="P602" t="s">
        <v>774</v>
      </c>
      <c r="Q602" s="2">
        <v>50</v>
      </c>
      <c r="R602" s="5">
        <v>12</v>
      </c>
      <c r="S602" s="5">
        <v>6</v>
      </c>
      <c r="T602" s="2">
        <v>6</v>
      </c>
      <c r="U602" t="s">
        <v>3</v>
      </c>
      <c r="V602" t="s">
        <v>243</v>
      </c>
      <c r="W602" s="5">
        <v>52.85</v>
      </c>
    </row>
    <row r="603" spans="1:23" ht="15" x14ac:dyDescent="0.2">
      <c r="A603" t="s">
        <v>1009</v>
      </c>
      <c r="B603" s="1">
        <f>45920</f>
        <v>45920</v>
      </c>
      <c r="C603" t="s">
        <v>0</v>
      </c>
      <c r="D603">
        <v>108108</v>
      </c>
      <c r="E603" s="2">
        <v>25004684</v>
      </c>
      <c r="F603" s="2">
        <v>5</v>
      </c>
      <c r="G603" t="s">
        <v>1586</v>
      </c>
      <c r="H603" t="s">
        <v>1264</v>
      </c>
      <c r="I603" t="s">
        <v>1898</v>
      </c>
      <c r="J603" t="s">
        <v>1324</v>
      </c>
      <c r="K603" s="3">
        <v>1</v>
      </c>
      <c r="L603" s="4">
        <v>6</v>
      </c>
      <c r="O603" t="s">
        <v>2</v>
      </c>
      <c r="P603" t="s">
        <v>774</v>
      </c>
      <c r="Q603" s="2">
        <v>0</v>
      </c>
      <c r="R603" s="5">
        <v>6</v>
      </c>
      <c r="S603" s="5">
        <v>0</v>
      </c>
      <c r="T603" s="2">
        <v>6</v>
      </c>
      <c r="U603" t="s">
        <v>3</v>
      </c>
      <c r="V603" t="s">
        <v>243</v>
      </c>
      <c r="W603" s="5">
        <v>52.85</v>
      </c>
    </row>
    <row r="604" spans="1:23" ht="15" x14ac:dyDescent="0.2">
      <c r="A604" t="s">
        <v>1009</v>
      </c>
      <c r="B604" s="1">
        <f>45920</f>
        <v>45920</v>
      </c>
      <c r="C604" t="s">
        <v>0</v>
      </c>
      <c r="D604">
        <v>108108</v>
      </c>
      <c r="E604" s="2">
        <v>25004684</v>
      </c>
      <c r="F604" s="2">
        <v>6</v>
      </c>
      <c r="G604" t="s">
        <v>1410</v>
      </c>
      <c r="H604" t="s">
        <v>1092</v>
      </c>
      <c r="I604" t="s">
        <v>1898</v>
      </c>
      <c r="J604" t="s">
        <v>1324</v>
      </c>
      <c r="K604" s="3">
        <v>1</v>
      </c>
      <c r="L604" s="4">
        <v>6</v>
      </c>
      <c r="O604" t="s">
        <v>2</v>
      </c>
      <c r="P604" t="s">
        <v>774</v>
      </c>
      <c r="Q604" s="2">
        <v>0</v>
      </c>
      <c r="R604" s="5">
        <v>6</v>
      </c>
      <c r="S604" s="5">
        <v>0</v>
      </c>
      <c r="T604" s="2">
        <v>6</v>
      </c>
      <c r="U604" t="s">
        <v>3</v>
      </c>
      <c r="V604" t="s">
        <v>243</v>
      </c>
      <c r="W604" s="5">
        <v>52.85</v>
      </c>
    </row>
    <row r="605" spans="1:23" ht="15" x14ac:dyDescent="0.2">
      <c r="A605" t="s">
        <v>1009</v>
      </c>
      <c r="B605" s="1">
        <f>45920</f>
        <v>45920</v>
      </c>
      <c r="C605" t="s">
        <v>0</v>
      </c>
      <c r="D605">
        <v>108108</v>
      </c>
      <c r="E605" s="2">
        <v>25004684</v>
      </c>
      <c r="F605" s="2">
        <v>7</v>
      </c>
      <c r="G605" t="s">
        <v>1587</v>
      </c>
      <c r="H605" t="s">
        <v>1265</v>
      </c>
      <c r="I605" t="s">
        <v>1898</v>
      </c>
      <c r="J605" t="s">
        <v>1324</v>
      </c>
      <c r="K605" s="3">
        <v>1</v>
      </c>
      <c r="L605" s="4">
        <v>6</v>
      </c>
      <c r="O605" t="s">
        <v>2</v>
      </c>
      <c r="P605" t="s">
        <v>774</v>
      </c>
      <c r="Q605" s="2">
        <v>0</v>
      </c>
      <c r="R605" s="5">
        <v>6</v>
      </c>
      <c r="S605" s="5">
        <v>0</v>
      </c>
      <c r="T605" s="2">
        <v>6</v>
      </c>
      <c r="U605" t="s">
        <v>3</v>
      </c>
      <c r="V605" t="s">
        <v>243</v>
      </c>
      <c r="W605" s="5">
        <v>52.85</v>
      </c>
    </row>
    <row r="606" spans="1:23" ht="15" x14ac:dyDescent="0.2">
      <c r="A606" t="s">
        <v>1009</v>
      </c>
      <c r="B606" s="1">
        <f>45920</f>
        <v>45920</v>
      </c>
      <c r="C606" t="s">
        <v>0</v>
      </c>
      <c r="D606">
        <v>108108</v>
      </c>
      <c r="E606" s="2">
        <v>25004685</v>
      </c>
      <c r="F606" s="2">
        <v>1</v>
      </c>
      <c r="G606" t="s">
        <v>1510</v>
      </c>
      <c r="H606" t="s">
        <v>1191</v>
      </c>
      <c r="I606" t="s">
        <v>1864</v>
      </c>
      <c r="J606" t="s">
        <v>1324</v>
      </c>
      <c r="K606" s="3">
        <v>1</v>
      </c>
      <c r="L606" s="4">
        <v>21.9</v>
      </c>
      <c r="O606" t="s">
        <v>2</v>
      </c>
      <c r="P606" t="s">
        <v>775</v>
      </c>
      <c r="Q606" s="2">
        <v>0</v>
      </c>
      <c r="R606" s="5">
        <v>21.9</v>
      </c>
      <c r="S606" s="5">
        <v>0</v>
      </c>
      <c r="T606" s="2">
        <v>22</v>
      </c>
      <c r="U606" t="s">
        <v>3</v>
      </c>
      <c r="V606" t="s">
        <v>214</v>
      </c>
      <c r="W606" s="5">
        <v>18.399999999999999</v>
      </c>
    </row>
    <row r="607" spans="1:23" ht="15" x14ac:dyDescent="0.2">
      <c r="A607" t="s">
        <v>1009</v>
      </c>
      <c r="B607" s="1">
        <f>45920</f>
        <v>45920</v>
      </c>
      <c r="C607" t="s">
        <v>0</v>
      </c>
      <c r="D607">
        <v>108108</v>
      </c>
      <c r="E607" s="2">
        <v>25004686</v>
      </c>
      <c r="F607" s="2">
        <v>1</v>
      </c>
      <c r="G607" t="s">
        <v>1547</v>
      </c>
      <c r="H607" t="s">
        <v>1226</v>
      </c>
      <c r="I607" t="s">
        <v>1857</v>
      </c>
      <c r="J607" t="s">
        <v>1323</v>
      </c>
      <c r="K607" s="3">
        <v>1</v>
      </c>
      <c r="L607" s="4">
        <v>31</v>
      </c>
      <c r="O607" t="s">
        <v>2</v>
      </c>
      <c r="P607" t="s">
        <v>776</v>
      </c>
      <c r="Q607" s="2">
        <v>0</v>
      </c>
      <c r="R607" s="5">
        <v>31</v>
      </c>
      <c r="S607" s="5">
        <v>0</v>
      </c>
      <c r="T607" s="2">
        <v>31</v>
      </c>
      <c r="U607" t="s">
        <v>3</v>
      </c>
      <c r="V607" t="s">
        <v>207</v>
      </c>
      <c r="W607" s="5">
        <v>26.05</v>
      </c>
    </row>
    <row r="608" spans="1:23" ht="15" x14ac:dyDescent="0.2">
      <c r="A608" t="s">
        <v>1009</v>
      </c>
      <c r="B608" s="1">
        <f>45920</f>
        <v>45920</v>
      </c>
      <c r="C608" t="s">
        <v>0</v>
      </c>
      <c r="D608">
        <v>108108</v>
      </c>
      <c r="E608" s="2">
        <v>25004687</v>
      </c>
      <c r="F608" s="2">
        <v>1</v>
      </c>
      <c r="G608" t="s">
        <v>1465</v>
      </c>
      <c r="H608" t="s">
        <v>1146</v>
      </c>
      <c r="I608" t="s">
        <v>1647</v>
      </c>
      <c r="J608" t="s">
        <v>1323</v>
      </c>
      <c r="K608" s="3">
        <v>1</v>
      </c>
      <c r="L608" s="4">
        <v>18.899999999999999</v>
      </c>
      <c r="O608" t="s">
        <v>2</v>
      </c>
      <c r="P608" t="s">
        <v>777</v>
      </c>
      <c r="Q608" s="2">
        <v>0</v>
      </c>
      <c r="R608" s="5">
        <v>18.899999999999999</v>
      </c>
      <c r="S608" s="5">
        <v>0</v>
      </c>
      <c r="T608" s="2">
        <v>19</v>
      </c>
      <c r="U608" t="s">
        <v>3</v>
      </c>
      <c r="V608" t="s">
        <v>1322</v>
      </c>
      <c r="W608" s="5">
        <v>20.079999999999998</v>
      </c>
    </row>
    <row r="609" spans="1:23" ht="15" x14ac:dyDescent="0.2">
      <c r="A609" t="s">
        <v>1009</v>
      </c>
      <c r="B609" s="1">
        <f>45920</f>
        <v>45920</v>
      </c>
      <c r="C609" t="s">
        <v>0</v>
      </c>
      <c r="D609">
        <v>108108</v>
      </c>
      <c r="E609" s="2">
        <v>25004687</v>
      </c>
      <c r="F609" s="2">
        <v>2</v>
      </c>
      <c r="G609" t="s">
        <v>1332</v>
      </c>
      <c r="H609" t="s">
        <v>362</v>
      </c>
      <c r="I609" t="s">
        <v>1647</v>
      </c>
      <c r="J609" t="s">
        <v>1323</v>
      </c>
      <c r="K609" s="3">
        <v>1</v>
      </c>
      <c r="L609" s="4">
        <v>5</v>
      </c>
      <c r="O609" t="s">
        <v>2</v>
      </c>
      <c r="P609" t="s">
        <v>777</v>
      </c>
      <c r="Q609" s="2">
        <v>0</v>
      </c>
      <c r="R609" s="5">
        <v>5</v>
      </c>
      <c r="S609" s="5">
        <v>0</v>
      </c>
      <c r="T609" s="2">
        <v>5</v>
      </c>
      <c r="U609" t="s">
        <v>3</v>
      </c>
      <c r="V609" t="s">
        <v>1322</v>
      </c>
      <c r="W609" s="5">
        <v>20.079999999999998</v>
      </c>
    </row>
    <row r="610" spans="1:23" ht="15" x14ac:dyDescent="0.2">
      <c r="A610" t="s">
        <v>1009</v>
      </c>
      <c r="B610" s="1">
        <f>45920</f>
        <v>45920</v>
      </c>
      <c r="C610" t="s">
        <v>0</v>
      </c>
      <c r="D610">
        <v>108108</v>
      </c>
      <c r="E610" s="2">
        <v>25004688</v>
      </c>
      <c r="F610" s="2">
        <v>1</v>
      </c>
      <c r="G610" t="s">
        <v>1336</v>
      </c>
      <c r="H610" t="s">
        <v>1018</v>
      </c>
      <c r="I610" t="s">
        <v>1899</v>
      </c>
      <c r="J610" t="s">
        <v>1323</v>
      </c>
      <c r="K610" s="3">
        <v>1</v>
      </c>
      <c r="L610" s="4">
        <v>21.5</v>
      </c>
      <c r="O610" t="s">
        <v>2</v>
      </c>
      <c r="P610" t="s">
        <v>778</v>
      </c>
      <c r="Q610" s="2">
        <v>10</v>
      </c>
      <c r="R610" s="5">
        <v>23.9</v>
      </c>
      <c r="S610" s="5">
        <v>2.4</v>
      </c>
      <c r="T610" s="2">
        <v>22</v>
      </c>
      <c r="U610" t="s">
        <v>3</v>
      </c>
      <c r="V610" t="s">
        <v>244</v>
      </c>
      <c r="W610" s="5">
        <v>54.29</v>
      </c>
    </row>
    <row r="611" spans="1:23" ht="15" x14ac:dyDescent="0.2">
      <c r="A611" t="s">
        <v>1009</v>
      </c>
      <c r="B611" s="1">
        <f>45920</f>
        <v>45920</v>
      </c>
      <c r="C611" t="s">
        <v>0</v>
      </c>
      <c r="D611">
        <v>108108</v>
      </c>
      <c r="E611" s="2">
        <v>25004688</v>
      </c>
      <c r="F611" s="2">
        <v>2</v>
      </c>
      <c r="G611" t="s">
        <v>1409</v>
      </c>
      <c r="H611" t="s">
        <v>1091</v>
      </c>
      <c r="I611" t="s">
        <v>1899</v>
      </c>
      <c r="J611" t="s">
        <v>1323</v>
      </c>
      <c r="K611" s="3">
        <v>1</v>
      </c>
      <c r="L611" s="4">
        <v>43.1</v>
      </c>
      <c r="O611" t="s">
        <v>2</v>
      </c>
      <c r="P611" t="s">
        <v>778</v>
      </c>
      <c r="Q611" s="2">
        <v>10</v>
      </c>
      <c r="R611" s="5">
        <v>47.9</v>
      </c>
      <c r="S611" s="5">
        <v>4.8</v>
      </c>
      <c r="T611" s="2">
        <v>43</v>
      </c>
      <c r="U611" t="s">
        <v>3</v>
      </c>
      <c r="V611" t="s">
        <v>244</v>
      </c>
      <c r="W611" s="5">
        <v>54.29</v>
      </c>
    </row>
    <row r="612" spans="1:23" ht="15" x14ac:dyDescent="0.2">
      <c r="A612" t="s">
        <v>1009</v>
      </c>
      <c r="B612" s="1">
        <f>45920</f>
        <v>45920</v>
      </c>
      <c r="C612" t="s">
        <v>0</v>
      </c>
      <c r="D612">
        <v>108108</v>
      </c>
      <c r="E612" s="2">
        <v>25004689</v>
      </c>
      <c r="F612" s="2">
        <v>1</v>
      </c>
      <c r="G612" t="s">
        <v>1392</v>
      </c>
      <c r="H612" t="s">
        <v>1074</v>
      </c>
      <c r="I612" t="s">
        <v>1724</v>
      </c>
      <c r="J612" t="s">
        <v>1323</v>
      </c>
      <c r="K612" s="3">
        <v>1</v>
      </c>
      <c r="L612" s="4">
        <v>28.9</v>
      </c>
      <c r="O612" t="s">
        <v>2</v>
      </c>
      <c r="P612" t="s">
        <v>779</v>
      </c>
      <c r="Q612" s="2">
        <v>0</v>
      </c>
      <c r="R612" s="5">
        <v>28.9</v>
      </c>
      <c r="S612" s="5">
        <v>0</v>
      </c>
      <c r="T612" s="2">
        <v>29</v>
      </c>
      <c r="U612" t="s">
        <v>3</v>
      </c>
      <c r="V612" t="s">
        <v>80</v>
      </c>
      <c r="W612" s="5">
        <v>69.510000000000005</v>
      </c>
    </row>
    <row r="613" spans="1:23" ht="15" x14ac:dyDescent="0.2">
      <c r="A613" t="s">
        <v>1009</v>
      </c>
      <c r="B613" s="1">
        <f>45920</f>
        <v>45920</v>
      </c>
      <c r="C613" t="s">
        <v>0</v>
      </c>
      <c r="D613">
        <v>108108</v>
      </c>
      <c r="E613" s="2">
        <v>25004689</v>
      </c>
      <c r="F613" s="2">
        <v>2</v>
      </c>
      <c r="G613" t="s">
        <v>1335</v>
      </c>
      <c r="H613" t="s">
        <v>1017</v>
      </c>
      <c r="I613" t="s">
        <v>1724</v>
      </c>
      <c r="J613" t="s">
        <v>1323</v>
      </c>
      <c r="K613" s="3">
        <v>1</v>
      </c>
      <c r="L613" s="4">
        <v>26.9</v>
      </c>
      <c r="O613" t="s">
        <v>2</v>
      </c>
      <c r="P613" t="s">
        <v>779</v>
      </c>
      <c r="Q613" s="2">
        <v>0</v>
      </c>
      <c r="R613" s="5">
        <v>26.9</v>
      </c>
      <c r="S613" s="5">
        <v>0</v>
      </c>
      <c r="T613" s="2">
        <v>27</v>
      </c>
      <c r="U613" t="s">
        <v>3</v>
      </c>
      <c r="V613" t="s">
        <v>80</v>
      </c>
      <c r="W613" s="5">
        <v>69.510000000000005</v>
      </c>
    </row>
    <row r="614" spans="1:23" ht="15" x14ac:dyDescent="0.2">
      <c r="A614" t="s">
        <v>1009</v>
      </c>
      <c r="B614" s="1">
        <f>45920</f>
        <v>45920</v>
      </c>
      <c r="C614" t="s">
        <v>0</v>
      </c>
      <c r="D614">
        <v>108108</v>
      </c>
      <c r="E614" s="2">
        <v>25004689</v>
      </c>
      <c r="F614" s="2">
        <v>3</v>
      </c>
      <c r="G614" t="s">
        <v>1335</v>
      </c>
      <c r="H614" t="s">
        <v>1017</v>
      </c>
      <c r="I614" t="s">
        <v>1724</v>
      </c>
      <c r="J614" t="s">
        <v>1323</v>
      </c>
      <c r="K614" s="3">
        <v>1</v>
      </c>
      <c r="L614" s="4">
        <v>26.9</v>
      </c>
      <c r="O614" t="s">
        <v>2</v>
      </c>
      <c r="P614" t="s">
        <v>779</v>
      </c>
      <c r="Q614" s="2">
        <v>0</v>
      </c>
      <c r="R614" s="5">
        <v>26.9</v>
      </c>
      <c r="S614" s="5">
        <v>0</v>
      </c>
      <c r="T614" s="2">
        <v>27</v>
      </c>
      <c r="U614" t="s">
        <v>3</v>
      </c>
      <c r="V614" t="s">
        <v>80</v>
      </c>
      <c r="W614" s="5">
        <v>69.510000000000005</v>
      </c>
    </row>
    <row r="615" spans="1:23" ht="15" x14ac:dyDescent="0.2">
      <c r="A615" t="s">
        <v>1009</v>
      </c>
      <c r="B615" s="1">
        <f>45920</f>
        <v>45920</v>
      </c>
      <c r="C615" t="s">
        <v>0</v>
      </c>
      <c r="D615">
        <v>108108</v>
      </c>
      <c r="E615" s="2">
        <v>25004690</v>
      </c>
      <c r="F615" s="2">
        <v>1</v>
      </c>
      <c r="G615" t="s">
        <v>1387</v>
      </c>
      <c r="H615" t="s">
        <v>1069</v>
      </c>
      <c r="I615" t="s">
        <v>1649</v>
      </c>
      <c r="J615" t="s">
        <v>1323</v>
      </c>
      <c r="K615" s="3">
        <v>1</v>
      </c>
      <c r="L615" s="4">
        <v>26.9</v>
      </c>
      <c r="O615" t="s">
        <v>2</v>
      </c>
      <c r="P615" t="s">
        <v>780</v>
      </c>
      <c r="Q615" s="2">
        <v>0</v>
      </c>
      <c r="R615" s="5">
        <v>26.9</v>
      </c>
      <c r="S615" s="5">
        <v>0</v>
      </c>
      <c r="T615" s="2">
        <v>27</v>
      </c>
      <c r="U615" t="s">
        <v>3</v>
      </c>
      <c r="V615" t="s">
        <v>5</v>
      </c>
      <c r="W615" s="5">
        <v>61.09</v>
      </c>
    </row>
    <row r="616" spans="1:23" ht="15" x14ac:dyDescent="0.2">
      <c r="A616" t="s">
        <v>1009</v>
      </c>
      <c r="B616" s="1">
        <f>45920</f>
        <v>45920</v>
      </c>
      <c r="C616" t="s">
        <v>0</v>
      </c>
      <c r="D616">
        <v>108108</v>
      </c>
      <c r="E616" s="2">
        <v>25004690</v>
      </c>
      <c r="F616" s="2">
        <v>2</v>
      </c>
      <c r="G616" t="s">
        <v>1549</v>
      </c>
      <c r="H616" t="s">
        <v>1228</v>
      </c>
      <c r="I616" t="s">
        <v>1649</v>
      </c>
      <c r="J616" t="s">
        <v>1323</v>
      </c>
      <c r="K616" s="3">
        <v>1</v>
      </c>
      <c r="L616" s="4">
        <v>22.9</v>
      </c>
      <c r="O616" t="s">
        <v>2</v>
      </c>
      <c r="P616" t="s">
        <v>780</v>
      </c>
      <c r="Q616" s="2">
        <v>0</v>
      </c>
      <c r="R616" s="5">
        <v>22.9</v>
      </c>
      <c r="S616" s="5">
        <v>0</v>
      </c>
      <c r="T616" s="2">
        <v>23</v>
      </c>
      <c r="U616" t="s">
        <v>3</v>
      </c>
      <c r="V616" t="s">
        <v>5</v>
      </c>
      <c r="W616" s="5">
        <v>61.09</v>
      </c>
    </row>
    <row r="617" spans="1:23" ht="15" x14ac:dyDescent="0.2">
      <c r="A617" t="s">
        <v>1009</v>
      </c>
      <c r="B617" s="1">
        <f>45920</f>
        <v>45920</v>
      </c>
      <c r="C617" t="s">
        <v>0</v>
      </c>
      <c r="D617">
        <v>108108</v>
      </c>
      <c r="E617" s="2">
        <v>25004690</v>
      </c>
      <c r="F617" s="2">
        <v>3</v>
      </c>
      <c r="G617" t="s">
        <v>1536</v>
      </c>
      <c r="H617" t="s">
        <v>1215</v>
      </c>
      <c r="I617" t="s">
        <v>1649</v>
      </c>
      <c r="J617" t="s">
        <v>1323</v>
      </c>
      <c r="K617" s="3">
        <v>1</v>
      </c>
      <c r="L617" s="4">
        <v>22.9</v>
      </c>
      <c r="O617" t="s">
        <v>2</v>
      </c>
      <c r="P617" t="s">
        <v>780</v>
      </c>
      <c r="Q617" s="2">
        <v>0</v>
      </c>
      <c r="R617" s="5">
        <v>22.9</v>
      </c>
      <c r="S617" s="5">
        <v>0</v>
      </c>
      <c r="T617" s="2">
        <v>23</v>
      </c>
      <c r="U617" t="s">
        <v>3</v>
      </c>
      <c r="V617" t="s">
        <v>5</v>
      </c>
      <c r="W617" s="5">
        <v>61.09</v>
      </c>
    </row>
    <row r="618" spans="1:23" ht="15" x14ac:dyDescent="0.2">
      <c r="A618" t="s">
        <v>1009</v>
      </c>
      <c r="B618" s="1">
        <f>45920</f>
        <v>45920</v>
      </c>
      <c r="C618" t="s">
        <v>0</v>
      </c>
      <c r="D618">
        <v>108108</v>
      </c>
      <c r="E618" s="2">
        <v>25004691</v>
      </c>
      <c r="F618" s="2">
        <v>1</v>
      </c>
      <c r="G618" t="s">
        <v>1548</v>
      </c>
      <c r="H618" t="s">
        <v>1227</v>
      </c>
      <c r="I618" t="s">
        <v>1900</v>
      </c>
      <c r="J618" t="s">
        <v>1323</v>
      </c>
      <c r="K618" s="3">
        <v>1</v>
      </c>
      <c r="L618" s="4">
        <v>23.9</v>
      </c>
      <c r="O618" t="s">
        <v>2</v>
      </c>
      <c r="P618" t="s">
        <v>781</v>
      </c>
      <c r="Q618" s="2">
        <v>0</v>
      </c>
      <c r="R618" s="5">
        <v>23.9</v>
      </c>
      <c r="S618" s="5">
        <v>0</v>
      </c>
      <c r="T618" s="2">
        <v>24</v>
      </c>
      <c r="U618" t="s">
        <v>3</v>
      </c>
      <c r="V618" t="s">
        <v>245</v>
      </c>
      <c r="W618" s="5">
        <v>40.159999999999997</v>
      </c>
    </row>
    <row r="619" spans="1:23" ht="15" x14ac:dyDescent="0.2">
      <c r="A619" t="s">
        <v>1009</v>
      </c>
      <c r="B619" s="1">
        <f>45920</f>
        <v>45920</v>
      </c>
      <c r="C619" t="s">
        <v>0</v>
      </c>
      <c r="D619">
        <v>108108</v>
      </c>
      <c r="E619" s="2">
        <v>25004691</v>
      </c>
      <c r="F619" s="2">
        <v>2</v>
      </c>
      <c r="G619" t="s">
        <v>1460</v>
      </c>
      <c r="H619" t="s">
        <v>1142</v>
      </c>
      <c r="I619" t="s">
        <v>1900</v>
      </c>
      <c r="J619" t="s">
        <v>1323</v>
      </c>
      <c r="K619" s="3">
        <v>1</v>
      </c>
      <c r="L619" s="4">
        <v>23.9</v>
      </c>
      <c r="O619" t="s">
        <v>2</v>
      </c>
      <c r="P619" t="s">
        <v>781</v>
      </c>
      <c r="Q619" s="2">
        <v>0</v>
      </c>
      <c r="R619" s="5">
        <v>23.9</v>
      </c>
      <c r="S619" s="5">
        <v>0</v>
      </c>
      <c r="T619" s="2">
        <v>24</v>
      </c>
      <c r="U619" t="s">
        <v>3</v>
      </c>
      <c r="V619" t="s">
        <v>245</v>
      </c>
      <c r="W619" s="5">
        <v>40.159999999999997</v>
      </c>
    </row>
    <row r="620" spans="1:23" ht="15" x14ac:dyDescent="0.2">
      <c r="A620" t="s">
        <v>1009</v>
      </c>
      <c r="B620" s="1">
        <f>45920</f>
        <v>45920</v>
      </c>
      <c r="C620" t="s">
        <v>0</v>
      </c>
      <c r="D620">
        <v>108108</v>
      </c>
      <c r="E620" s="2">
        <v>25004692</v>
      </c>
      <c r="F620" s="2">
        <v>1</v>
      </c>
      <c r="G620" t="s">
        <v>1330</v>
      </c>
      <c r="H620" t="s">
        <v>1013</v>
      </c>
      <c r="I620" t="s">
        <v>1901</v>
      </c>
      <c r="J620" t="s">
        <v>1323</v>
      </c>
      <c r="K620" s="3">
        <v>1</v>
      </c>
      <c r="L620" s="4">
        <v>21.9</v>
      </c>
      <c r="O620" t="s">
        <v>2</v>
      </c>
      <c r="P620" t="s">
        <v>782</v>
      </c>
      <c r="Q620" s="2">
        <v>0</v>
      </c>
      <c r="R620" s="5">
        <v>21.9</v>
      </c>
      <c r="S620" s="5">
        <v>0</v>
      </c>
      <c r="T620" s="2">
        <v>22</v>
      </c>
      <c r="U620" t="s">
        <v>3</v>
      </c>
      <c r="V620" t="s">
        <v>246</v>
      </c>
      <c r="W620" s="5">
        <v>22.6</v>
      </c>
    </row>
    <row r="621" spans="1:23" ht="15" x14ac:dyDescent="0.2">
      <c r="A621" t="s">
        <v>1009</v>
      </c>
      <c r="B621" s="1">
        <f>45920</f>
        <v>45920</v>
      </c>
      <c r="C621" t="s">
        <v>0</v>
      </c>
      <c r="D621">
        <v>108108</v>
      </c>
      <c r="E621" s="2">
        <v>25004692</v>
      </c>
      <c r="F621" s="2">
        <v>2</v>
      </c>
      <c r="G621" t="s">
        <v>1332</v>
      </c>
      <c r="H621" t="s">
        <v>362</v>
      </c>
      <c r="I621" t="s">
        <v>1901</v>
      </c>
      <c r="J621" t="s">
        <v>1323</v>
      </c>
      <c r="K621" s="3">
        <v>1</v>
      </c>
      <c r="L621" s="4">
        <v>5</v>
      </c>
      <c r="O621" t="s">
        <v>2</v>
      </c>
      <c r="P621" t="s">
        <v>782</v>
      </c>
      <c r="Q621" s="2">
        <v>0</v>
      </c>
      <c r="R621" s="5">
        <v>5</v>
      </c>
      <c r="S621" s="5">
        <v>0</v>
      </c>
      <c r="T621" s="2">
        <v>5</v>
      </c>
      <c r="U621" t="s">
        <v>3</v>
      </c>
      <c r="V621" t="s">
        <v>246</v>
      </c>
      <c r="W621" s="5">
        <v>22.6</v>
      </c>
    </row>
    <row r="622" spans="1:23" ht="15" x14ac:dyDescent="0.2">
      <c r="A622" t="s">
        <v>1009</v>
      </c>
      <c r="B622" s="1">
        <f>45920</f>
        <v>45920</v>
      </c>
      <c r="C622" t="s">
        <v>0</v>
      </c>
      <c r="D622">
        <v>108108</v>
      </c>
      <c r="E622" s="2">
        <v>25004693</v>
      </c>
      <c r="F622" s="2">
        <v>1</v>
      </c>
      <c r="G622" t="s">
        <v>1363</v>
      </c>
      <c r="H622" t="s">
        <v>1045</v>
      </c>
      <c r="I622" t="s">
        <v>1772</v>
      </c>
      <c r="J622" t="s">
        <v>1323</v>
      </c>
      <c r="K622" s="3">
        <v>1</v>
      </c>
      <c r="L622" s="4">
        <v>32</v>
      </c>
      <c r="O622" t="s">
        <v>2</v>
      </c>
      <c r="P622" t="s">
        <v>783</v>
      </c>
      <c r="Q622" s="2">
        <v>0</v>
      </c>
      <c r="R622" s="5">
        <v>32</v>
      </c>
      <c r="S622" s="5">
        <v>0</v>
      </c>
      <c r="T622" s="2">
        <v>32</v>
      </c>
      <c r="U622" t="s">
        <v>3</v>
      </c>
      <c r="V622" t="s">
        <v>125</v>
      </c>
      <c r="W622" s="5">
        <v>26.89</v>
      </c>
    </row>
    <row r="623" spans="1:23" ht="15" x14ac:dyDescent="0.2">
      <c r="A623" t="s">
        <v>1009</v>
      </c>
      <c r="B623" s="1">
        <f>45920</f>
        <v>45920</v>
      </c>
      <c r="C623" t="s">
        <v>0</v>
      </c>
      <c r="D623">
        <v>108108</v>
      </c>
      <c r="E623" s="2">
        <v>25004694</v>
      </c>
      <c r="F623" s="2">
        <v>1</v>
      </c>
      <c r="G623" t="s">
        <v>1510</v>
      </c>
      <c r="H623" t="s">
        <v>1191</v>
      </c>
      <c r="I623" t="s">
        <v>1902</v>
      </c>
      <c r="J623" t="s">
        <v>1323</v>
      </c>
      <c r="K623" s="3">
        <v>1</v>
      </c>
      <c r="L623" s="4">
        <v>21.9</v>
      </c>
      <c r="O623" t="s">
        <v>2</v>
      </c>
      <c r="P623" t="s">
        <v>784</v>
      </c>
      <c r="Q623" s="2">
        <v>0</v>
      </c>
      <c r="R623" s="5">
        <v>21.9</v>
      </c>
      <c r="S623" s="5">
        <v>0</v>
      </c>
      <c r="T623" s="2">
        <v>22</v>
      </c>
      <c r="U623" t="s">
        <v>3</v>
      </c>
      <c r="V623" t="s">
        <v>247</v>
      </c>
      <c r="W623" s="5">
        <v>27.64</v>
      </c>
    </row>
    <row r="624" spans="1:23" ht="15" x14ac:dyDescent="0.2">
      <c r="A624" t="s">
        <v>1009</v>
      </c>
      <c r="B624" s="1">
        <f>45920</f>
        <v>45920</v>
      </c>
      <c r="C624" t="s">
        <v>0</v>
      </c>
      <c r="D624">
        <v>108108</v>
      </c>
      <c r="E624" s="2">
        <v>25004694</v>
      </c>
      <c r="F624" s="2">
        <v>2</v>
      </c>
      <c r="G624" t="s">
        <v>1588</v>
      </c>
      <c r="H624" t="s">
        <v>1266</v>
      </c>
      <c r="I624" t="s">
        <v>1902</v>
      </c>
      <c r="J624" t="s">
        <v>1323</v>
      </c>
      <c r="K624" s="3">
        <v>1</v>
      </c>
      <c r="L624" s="4">
        <v>6</v>
      </c>
      <c r="O624" t="s">
        <v>2</v>
      </c>
      <c r="P624" t="s">
        <v>784</v>
      </c>
      <c r="Q624" s="2">
        <v>0</v>
      </c>
      <c r="R624" s="5">
        <v>6</v>
      </c>
      <c r="S624" s="5">
        <v>0</v>
      </c>
      <c r="T624" s="2">
        <v>6</v>
      </c>
      <c r="U624" t="s">
        <v>3</v>
      </c>
      <c r="V624" t="s">
        <v>247</v>
      </c>
      <c r="W624" s="5">
        <v>27.64</v>
      </c>
    </row>
    <row r="625" spans="1:23" ht="15" x14ac:dyDescent="0.2">
      <c r="A625" t="s">
        <v>1009</v>
      </c>
      <c r="B625" s="1">
        <f>45920</f>
        <v>45920</v>
      </c>
      <c r="C625" t="s">
        <v>0</v>
      </c>
      <c r="D625">
        <v>108108</v>
      </c>
      <c r="E625" s="2">
        <v>25004694</v>
      </c>
      <c r="F625" s="2">
        <v>3</v>
      </c>
      <c r="G625" t="s">
        <v>1332</v>
      </c>
      <c r="H625" t="s">
        <v>362</v>
      </c>
      <c r="I625" t="s">
        <v>1902</v>
      </c>
      <c r="J625" t="s">
        <v>1323</v>
      </c>
      <c r="K625" s="3">
        <v>1</v>
      </c>
      <c r="L625" s="4">
        <v>5</v>
      </c>
      <c r="O625" t="s">
        <v>2</v>
      </c>
      <c r="P625" t="s">
        <v>784</v>
      </c>
      <c r="Q625" s="2">
        <v>0</v>
      </c>
      <c r="R625" s="5">
        <v>5</v>
      </c>
      <c r="S625" s="5">
        <v>0</v>
      </c>
      <c r="T625" s="2">
        <v>5</v>
      </c>
      <c r="U625" t="s">
        <v>3</v>
      </c>
      <c r="V625" t="s">
        <v>247</v>
      </c>
      <c r="W625" s="5">
        <v>27.64</v>
      </c>
    </row>
    <row r="626" spans="1:23" ht="15" x14ac:dyDescent="0.2">
      <c r="A626" t="s">
        <v>1009</v>
      </c>
      <c r="B626" s="1">
        <f>45920</f>
        <v>45920</v>
      </c>
      <c r="C626" t="s">
        <v>0</v>
      </c>
      <c r="D626">
        <v>108108</v>
      </c>
      <c r="E626" s="2">
        <v>25004695</v>
      </c>
      <c r="F626" s="2">
        <v>1</v>
      </c>
      <c r="G626" t="s">
        <v>1357</v>
      </c>
      <c r="H626" t="s">
        <v>1039</v>
      </c>
      <c r="I626" t="s">
        <v>1903</v>
      </c>
      <c r="J626" t="s">
        <v>1323</v>
      </c>
      <c r="K626" s="3">
        <v>1</v>
      </c>
      <c r="L626" s="4">
        <v>21.9</v>
      </c>
      <c r="O626" t="s">
        <v>2</v>
      </c>
      <c r="P626" t="s">
        <v>785</v>
      </c>
      <c r="Q626" s="2">
        <v>0</v>
      </c>
      <c r="R626" s="5">
        <v>21.9</v>
      </c>
      <c r="S626" s="5">
        <v>0</v>
      </c>
      <c r="T626" s="2">
        <v>22</v>
      </c>
      <c r="U626" t="s">
        <v>3</v>
      </c>
      <c r="V626" t="s">
        <v>248</v>
      </c>
      <c r="W626" s="5">
        <v>18.399999999999999</v>
      </c>
    </row>
    <row r="627" spans="1:23" ht="15" x14ac:dyDescent="0.2">
      <c r="A627" t="s">
        <v>1009</v>
      </c>
      <c r="B627" s="1">
        <f>45920</f>
        <v>45920</v>
      </c>
      <c r="C627" t="s">
        <v>0</v>
      </c>
      <c r="D627">
        <v>108108</v>
      </c>
      <c r="E627" s="2">
        <v>25004696</v>
      </c>
      <c r="F627" s="2">
        <v>1</v>
      </c>
      <c r="G627" t="s">
        <v>1363</v>
      </c>
      <c r="H627" t="s">
        <v>1045</v>
      </c>
      <c r="I627" t="s">
        <v>1833</v>
      </c>
      <c r="J627" t="s">
        <v>1323</v>
      </c>
      <c r="K627" s="3">
        <v>1</v>
      </c>
      <c r="L627" s="4">
        <v>32</v>
      </c>
      <c r="O627" t="s">
        <v>2</v>
      </c>
      <c r="P627" t="s">
        <v>786</v>
      </c>
      <c r="Q627" s="2">
        <v>0</v>
      </c>
      <c r="R627" s="5">
        <v>32</v>
      </c>
      <c r="S627" s="5">
        <v>0</v>
      </c>
      <c r="T627" s="2">
        <v>32</v>
      </c>
      <c r="U627" t="s">
        <v>3</v>
      </c>
      <c r="V627" t="s">
        <v>184</v>
      </c>
      <c r="W627" s="5">
        <v>26.89</v>
      </c>
    </row>
    <row r="628" spans="1:23" ht="15" x14ac:dyDescent="0.2">
      <c r="A628" t="s">
        <v>1009</v>
      </c>
      <c r="B628" s="1">
        <f>45920</f>
        <v>45920</v>
      </c>
      <c r="C628" t="s">
        <v>0</v>
      </c>
      <c r="D628">
        <v>108108</v>
      </c>
      <c r="E628" s="2">
        <v>25004697</v>
      </c>
      <c r="F628" s="2">
        <v>1</v>
      </c>
      <c r="G628" t="s">
        <v>1415</v>
      </c>
      <c r="H628" t="s">
        <v>1097</v>
      </c>
      <c r="I628" t="s">
        <v>1904</v>
      </c>
      <c r="J628" t="s">
        <v>1323</v>
      </c>
      <c r="K628" s="3">
        <v>1</v>
      </c>
      <c r="L628" s="4">
        <v>22.9</v>
      </c>
      <c r="O628" t="s">
        <v>2</v>
      </c>
      <c r="P628" t="s">
        <v>787</v>
      </c>
      <c r="Q628" s="2">
        <v>0</v>
      </c>
      <c r="R628" s="5">
        <v>22.9</v>
      </c>
      <c r="S628" s="5">
        <v>0</v>
      </c>
      <c r="T628" s="2">
        <v>23</v>
      </c>
      <c r="U628" t="s">
        <v>3</v>
      </c>
      <c r="V628" t="s">
        <v>249</v>
      </c>
      <c r="W628" s="5">
        <v>23.44</v>
      </c>
    </row>
    <row r="629" spans="1:23" ht="15" x14ac:dyDescent="0.2">
      <c r="A629" t="s">
        <v>1009</v>
      </c>
      <c r="B629" s="1">
        <f>45920</f>
        <v>45920</v>
      </c>
      <c r="C629" t="s">
        <v>0</v>
      </c>
      <c r="D629">
        <v>108108</v>
      </c>
      <c r="E629" s="2">
        <v>25004697</v>
      </c>
      <c r="F629" s="2">
        <v>2</v>
      </c>
      <c r="G629" t="s">
        <v>1332</v>
      </c>
      <c r="H629" t="s">
        <v>362</v>
      </c>
      <c r="I629" t="s">
        <v>1904</v>
      </c>
      <c r="J629" t="s">
        <v>1323</v>
      </c>
      <c r="K629" s="3">
        <v>1</v>
      </c>
      <c r="L629" s="4">
        <v>5</v>
      </c>
      <c r="O629" t="s">
        <v>2</v>
      </c>
      <c r="P629" t="s">
        <v>787</v>
      </c>
      <c r="Q629" s="2">
        <v>0</v>
      </c>
      <c r="R629" s="5">
        <v>5</v>
      </c>
      <c r="S629" s="5">
        <v>0</v>
      </c>
      <c r="T629" s="2">
        <v>5</v>
      </c>
      <c r="U629" t="s">
        <v>3</v>
      </c>
      <c r="V629" t="s">
        <v>249</v>
      </c>
      <c r="W629" s="5">
        <v>23.44</v>
      </c>
    </row>
    <row r="630" spans="1:23" ht="15" x14ac:dyDescent="0.2">
      <c r="A630" t="s">
        <v>1009</v>
      </c>
      <c r="B630" s="1">
        <f>45920</f>
        <v>45920</v>
      </c>
      <c r="C630" t="s">
        <v>0</v>
      </c>
      <c r="D630">
        <v>108108</v>
      </c>
      <c r="E630" s="2">
        <v>25004698</v>
      </c>
      <c r="F630" s="2">
        <v>1</v>
      </c>
      <c r="G630" t="s">
        <v>1437</v>
      </c>
      <c r="H630" t="s">
        <v>1119</v>
      </c>
      <c r="I630" t="s">
        <v>1870</v>
      </c>
      <c r="J630" t="s">
        <v>1323</v>
      </c>
      <c r="K630" s="3">
        <v>1</v>
      </c>
      <c r="L630" s="4">
        <v>9.9</v>
      </c>
      <c r="O630" t="s">
        <v>2</v>
      </c>
      <c r="P630" t="s">
        <v>788</v>
      </c>
      <c r="Q630" s="2">
        <v>0</v>
      </c>
      <c r="R630" s="5">
        <v>9.9</v>
      </c>
      <c r="S630" s="5">
        <v>0</v>
      </c>
      <c r="T630" s="2">
        <v>10</v>
      </c>
      <c r="U630" t="s">
        <v>3</v>
      </c>
      <c r="V630" t="s">
        <v>220</v>
      </c>
      <c r="W630" s="5">
        <v>8.32</v>
      </c>
    </row>
    <row r="631" spans="1:23" ht="15" x14ac:dyDescent="0.2">
      <c r="A631" t="s">
        <v>1009</v>
      </c>
      <c r="B631" s="1">
        <f>45920</f>
        <v>45920</v>
      </c>
      <c r="C631" t="s">
        <v>0</v>
      </c>
      <c r="D631">
        <v>108108</v>
      </c>
      <c r="E631" s="2">
        <v>25004699</v>
      </c>
      <c r="F631" s="2">
        <v>1</v>
      </c>
      <c r="G631" t="s">
        <v>1331</v>
      </c>
      <c r="H631" t="s">
        <v>1014</v>
      </c>
      <c r="I631" t="s">
        <v>1905</v>
      </c>
      <c r="J631" t="s">
        <v>1323</v>
      </c>
      <c r="K631" s="3">
        <v>1</v>
      </c>
      <c r="L631" s="4">
        <v>21.9</v>
      </c>
      <c r="O631" t="s">
        <v>2</v>
      </c>
      <c r="P631" t="s">
        <v>789</v>
      </c>
      <c r="Q631" s="2">
        <v>0</v>
      </c>
      <c r="R631" s="5">
        <v>21.9</v>
      </c>
      <c r="S631" s="5">
        <v>0</v>
      </c>
      <c r="T631" s="2">
        <v>22</v>
      </c>
      <c r="U631" t="s">
        <v>3</v>
      </c>
      <c r="V631" t="s">
        <v>250</v>
      </c>
      <c r="W631" s="5">
        <v>18.399999999999999</v>
      </c>
    </row>
    <row r="632" spans="1:23" ht="15" x14ac:dyDescent="0.2">
      <c r="A632" t="s">
        <v>1009</v>
      </c>
      <c r="B632" s="1">
        <f>45920</f>
        <v>45920</v>
      </c>
      <c r="C632" t="s">
        <v>0</v>
      </c>
      <c r="D632">
        <v>108108</v>
      </c>
      <c r="E632" s="2">
        <v>25004700</v>
      </c>
      <c r="F632" s="2">
        <v>1</v>
      </c>
      <c r="G632" t="s">
        <v>1334</v>
      </c>
      <c r="H632" t="s">
        <v>1016</v>
      </c>
      <c r="I632" t="s">
        <v>1906</v>
      </c>
      <c r="J632" t="s">
        <v>1323</v>
      </c>
      <c r="K632" s="3">
        <v>1</v>
      </c>
      <c r="L632" s="4">
        <v>19.7</v>
      </c>
      <c r="O632" t="s">
        <v>2</v>
      </c>
      <c r="P632" t="s">
        <v>790</v>
      </c>
      <c r="Q632" s="2">
        <v>10</v>
      </c>
      <c r="R632" s="5">
        <v>21.9</v>
      </c>
      <c r="S632" s="5">
        <v>2.2000000000000002</v>
      </c>
      <c r="T632" s="2">
        <v>20</v>
      </c>
      <c r="U632" t="s">
        <v>3</v>
      </c>
      <c r="V632" t="s">
        <v>251</v>
      </c>
      <c r="W632" s="5">
        <v>60.99</v>
      </c>
    </row>
    <row r="633" spans="1:23" ht="15" x14ac:dyDescent="0.2">
      <c r="A633" t="s">
        <v>1009</v>
      </c>
      <c r="B633" s="1">
        <f>45920</f>
        <v>45920</v>
      </c>
      <c r="C633" t="s">
        <v>0</v>
      </c>
      <c r="D633">
        <v>108108</v>
      </c>
      <c r="E633" s="2">
        <v>25004700</v>
      </c>
      <c r="F633" s="2">
        <v>2</v>
      </c>
      <c r="G633" t="s">
        <v>1524</v>
      </c>
      <c r="H633" t="s">
        <v>1204</v>
      </c>
      <c r="I633" t="s">
        <v>1906</v>
      </c>
      <c r="J633" t="s">
        <v>1323</v>
      </c>
      <c r="K633" s="3">
        <v>1</v>
      </c>
      <c r="L633" s="4">
        <v>19.7</v>
      </c>
      <c r="O633" t="s">
        <v>2</v>
      </c>
      <c r="P633" t="s">
        <v>790</v>
      </c>
      <c r="Q633" s="2">
        <v>10</v>
      </c>
      <c r="R633" s="5">
        <v>21.9</v>
      </c>
      <c r="S633" s="5">
        <v>2.2000000000000002</v>
      </c>
      <c r="T633" s="2">
        <v>20</v>
      </c>
      <c r="U633" t="s">
        <v>3</v>
      </c>
      <c r="V633" t="s">
        <v>251</v>
      </c>
      <c r="W633" s="5">
        <v>60.99</v>
      </c>
    </row>
    <row r="634" spans="1:23" ht="15" x14ac:dyDescent="0.2">
      <c r="A634" t="s">
        <v>1009</v>
      </c>
      <c r="B634" s="1">
        <f>45920</f>
        <v>45920</v>
      </c>
      <c r="C634" t="s">
        <v>0</v>
      </c>
      <c r="D634">
        <v>108108</v>
      </c>
      <c r="E634" s="2">
        <v>25004700</v>
      </c>
      <c r="F634" s="2">
        <v>3</v>
      </c>
      <c r="G634" t="s">
        <v>1524</v>
      </c>
      <c r="H634" t="s">
        <v>1204</v>
      </c>
      <c r="I634" t="s">
        <v>1906</v>
      </c>
      <c r="J634" t="s">
        <v>1323</v>
      </c>
      <c r="K634" s="3">
        <v>1</v>
      </c>
      <c r="L634" s="4">
        <v>19.7</v>
      </c>
      <c r="O634" t="s">
        <v>2</v>
      </c>
      <c r="P634" t="s">
        <v>790</v>
      </c>
      <c r="Q634" s="2">
        <v>10</v>
      </c>
      <c r="R634" s="5">
        <v>21.9</v>
      </c>
      <c r="S634" s="5">
        <v>2.2000000000000002</v>
      </c>
      <c r="T634" s="2">
        <v>20</v>
      </c>
      <c r="U634" t="s">
        <v>3</v>
      </c>
      <c r="V634" t="s">
        <v>251</v>
      </c>
      <c r="W634" s="5">
        <v>60.99</v>
      </c>
    </row>
    <row r="635" spans="1:23" ht="15" x14ac:dyDescent="0.2">
      <c r="A635" t="s">
        <v>1009</v>
      </c>
      <c r="B635" s="1">
        <f>45920</f>
        <v>45920</v>
      </c>
      <c r="C635" t="s">
        <v>0</v>
      </c>
      <c r="D635">
        <v>108108</v>
      </c>
      <c r="E635" s="2">
        <v>25004700</v>
      </c>
      <c r="F635" s="2">
        <v>4</v>
      </c>
      <c r="G635" t="s">
        <v>1332</v>
      </c>
      <c r="H635" t="s">
        <v>362</v>
      </c>
      <c r="I635" t="s">
        <v>1906</v>
      </c>
      <c r="J635" t="s">
        <v>1323</v>
      </c>
      <c r="K635" s="3">
        <v>1</v>
      </c>
      <c r="L635" s="4">
        <v>4.5</v>
      </c>
      <c r="O635" t="s">
        <v>2</v>
      </c>
      <c r="P635" t="s">
        <v>790</v>
      </c>
      <c r="Q635" s="2">
        <v>10</v>
      </c>
      <c r="R635" s="5">
        <v>5</v>
      </c>
      <c r="S635" s="5">
        <v>0.5</v>
      </c>
      <c r="T635" s="2">
        <v>5</v>
      </c>
      <c r="U635" t="s">
        <v>3</v>
      </c>
      <c r="V635" t="s">
        <v>251</v>
      </c>
      <c r="W635" s="5">
        <v>60.99</v>
      </c>
    </row>
    <row r="636" spans="1:23" ht="15" x14ac:dyDescent="0.2">
      <c r="A636" t="s">
        <v>1009</v>
      </c>
      <c r="B636" s="1">
        <f>45920</f>
        <v>45920</v>
      </c>
      <c r="C636" t="s">
        <v>0</v>
      </c>
      <c r="D636">
        <v>108108</v>
      </c>
      <c r="E636" s="2">
        <v>25004700</v>
      </c>
      <c r="F636" s="2">
        <v>5</v>
      </c>
      <c r="G636" t="s">
        <v>1332</v>
      </c>
      <c r="H636" t="s">
        <v>362</v>
      </c>
      <c r="I636" t="s">
        <v>1906</v>
      </c>
      <c r="J636" t="s">
        <v>1323</v>
      </c>
      <c r="K636" s="3">
        <v>1</v>
      </c>
      <c r="L636" s="4">
        <v>4.5</v>
      </c>
      <c r="O636" t="s">
        <v>2</v>
      </c>
      <c r="P636" t="s">
        <v>790</v>
      </c>
      <c r="Q636" s="2">
        <v>10</v>
      </c>
      <c r="R636" s="5">
        <v>5</v>
      </c>
      <c r="S636" s="5">
        <v>0.5</v>
      </c>
      <c r="T636" s="2">
        <v>5</v>
      </c>
      <c r="U636" t="s">
        <v>3</v>
      </c>
      <c r="V636" t="s">
        <v>251</v>
      </c>
      <c r="W636" s="5">
        <v>60.99</v>
      </c>
    </row>
    <row r="637" spans="1:23" ht="15" x14ac:dyDescent="0.2">
      <c r="A637" t="s">
        <v>1009</v>
      </c>
      <c r="B637" s="1">
        <f>45920</f>
        <v>45920</v>
      </c>
      <c r="C637" t="s">
        <v>0</v>
      </c>
      <c r="D637">
        <v>108108</v>
      </c>
      <c r="E637" s="2">
        <v>25004700</v>
      </c>
      <c r="F637" s="2">
        <v>6</v>
      </c>
      <c r="G637" t="s">
        <v>1332</v>
      </c>
      <c r="H637" t="s">
        <v>362</v>
      </c>
      <c r="I637" t="s">
        <v>1906</v>
      </c>
      <c r="J637" t="s">
        <v>1323</v>
      </c>
      <c r="K637" s="3">
        <v>1</v>
      </c>
      <c r="L637" s="4">
        <v>4.5</v>
      </c>
      <c r="O637" t="s">
        <v>2</v>
      </c>
      <c r="P637" t="s">
        <v>790</v>
      </c>
      <c r="Q637" s="2">
        <v>10</v>
      </c>
      <c r="R637" s="5">
        <v>5</v>
      </c>
      <c r="S637" s="5">
        <v>0.5</v>
      </c>
      <c r="T637" s="2">
        <v>5</v>
      </c>
      <c r="U637" t="s">
        <v>3</v>
      </c>
      <c r="V637" t="s">
        <v>251</v>
      </c>
      <c r="W637" s="5">
        <v>60.99</v>
      </c>
    </row>
    <row r="638" spans="1:23" ht="15" x14ac:dyDescent="0.2">
      <c r="A638" t="s">
        <v>1009</v>
      </c>
      <c r="B638" s="1">
        <f>45920</f>
        <v>45920</v>
      </c>
      <c r="C638" t="s">
        <v>0</v>
      </c>
      <c r="D638">
        <v>108108</v>
      </c>
      <c r="E638" s="2">
        <v>25004701</v>
      </c>
      <c r="F638" s="2">
        <v>1</v>
      </c>
      <c r="G638" t="s">
        <v>1348</v>
      </c>
      <c r="H638" t="s">
        <v>1030</v>
      </c>
      <c r="I638" t="s">
        <v>1647</v>
      </c>
      <c r="J638" t="s">
        <v>1323</v>
      </c>
      <c r="K638" s="3">
        <v>1</v>
      </c>
      <c r="L638" s="4">
        <v>27.9</v>
      </c>
      <c r="O638" t="s">
        <v>2</v>
      </c>
      <c r="P638" t="s">
        <v>791</v>
      </c>
      <c r="Q638" s="2">
        <v>0</v>
      </c>
      <c r="R638" s="5">
        <v>27.9</v>
      </c>
      <c r="S638" s="5">
        <v>0</v>
      </c>
      <c r="T638" s="2">
        <v>28</v>
      </c>
      <c r="U638" t="s">
        <v>3</v>
      </c>
      <c r="V638" t="s">
        <v>1322</v>
      </c>
      <c r="W638" s="5">
        <v>23.45</v>
      </c>
    </row>
    <row r="639" spans="1:23" ht="15" x14ac:dyDescent="0.2">
      <c r="A639" t="s">
        <v>1009</v>
      </c>
      <c r="B639" s="1">
        <f>45920</f>
        <v>45920</v>
      </c>
      <c r="C639" t="s">
        <v>0</v>
      </c>
      <c r="D639">
        <v>108108</v>
      </c>
      <c r="E639" s="2">
        <v>25004702</v>
      </c>
      <c r="F639" s="2">
        <v>1</v>
      </c>
      <c r="G639" t="s">
        <v>1564</v>
      </c>
      <c r="H639" t="s">
        <v>1243</v>
      </c>
      <c r="I639" t="s">
        <v>1679</v>
      </c>
      <c r="J639" t="s">
        <v>1323</v>
      </c>
      <c r="K639" s="3">
        <v>1</v>
      </c>
      <c r="L639" s="4">
        <v>16.899999999999999</v>
      </c>
      <c r="O639" t="s">
        <v>2</v>
      </c>
      <c r="P639" t="s">
        <v>792</v>
      </c>
      <c r="Q639" s="2">
        <v>0</v>
      </c>
      <c r="R639" s="5">
        <v>16.899999999999999</v>
      </c>
      <c r="S639" s="5">
        <v>0</v>
      </c>
      <c r="T639" s="2">
        <v>17</v>
      </c>
      <c r="U639" t="s">
        <v>3</v>
      </c>
      <c r="V639" t="s">
        <v>35</v>
      </c>
      <c r="W639" s="5">
        <v>14.2</v>
      </c>
    </row>
    <row r="640" spans="1:23" ht="15" x14ac:dyDescent="0.2">
      <c r="A640" t="s">
        <v>1009</v>
      </c>
      <c r="B640" s="1">
        <f>45920</f>
        <v>45920</v>
      </c>
      <c r="C640" t="s">
        <v>0</v>
      </c>
      <c r="D640">
        <v>108108</v>
      </c>
      <c r="E640" s="2">
        <v>25004703</v>
      </c>
      <c r="F640" s="2">
        <v>1</v>
      </c>
      <c r="G640" t="s">
        <v>1484</v>
      </c>
      <c r="H640" t="s">
        <v>1165</v>
      </c>
      <c r="I640" t="s">
        <v>1907</v>
      </c>
      <c r="J640" t="s">
        <v>1323</v>
      </c>
      <c r="K640" s="3">
        <v>1</v>
      </c>
      <c r="L640" s="4">
        <v>30</v>
      </c>
      <c r="O640" t="s">
        <v>2</v>
      </c>
      <c r="P640" t="s">
        <v>793</v>
      </c>
      <c r="Q640" s="2">
        <v>0</v>
      </c>
      <c r="R640" s="5">
        <v>30</v>
      </c>
      <c r="S640" s="5">
        <v>0</v>
      </c>
      <c r="T640" s="2">
        <v>30</v>
      </c>
      <c r="U640" t="s">
        <v>3</v>
      </c>
      <c r="V640" t="s">
        <v>252</v>
      </c>
      <c r="W640" s="5">
        <v>25.21</v>
      </c>
    </row>
    <row r="641" spans="1:23" ht="15" x14ac:dyDescent="0.2">
      <c r="A641" t="s">
        <v>1009</v>
      </c>
      <c r="B641" s="1">
        <f>45920</f>
        <v>45920</v>
      </c>
      <c r="C641" t="s">
        <v>0</v>
      </c>
      <c r="D641">
        <v>108108</v>
      </c>
      <c r="E641" s="2">
        <v>25004704</v>
      </c>
      <c r="F641" s="2">
        <v>1</v>
      </c>
      <c r="G641" t="s">
        <v>1465</v>
      </c>
      <c r="H641" t="s">
        <v>1146</v>
      </c>
      <c r="I641" t="s">
        <v>1647</v>
      </c>
      <c r="J641" t="s">
        <v>1323</v>
      </c>
      <c r="K641" s="3">
        <v>1</v>
      </c>
      <c r="L641" s="4">
        <v>18.899999999999999</v>
      </c>
      <c r="O641" t="s">
        <v>2</v>
      </c>
      <c r="P641" t="s">
        <v>794</v>
      </c>
      <c r="Q641" s="2">
        <v>0</v>
      </c>
      <c r="R641" s="5">
        <v>18.899999999999999</v>
      </c>
      <c r="S641" s="5">
        <v>0</v>
      </c>
      <c r="T641" s="2">
        <v>19</v>
      </c>
      <c r="U641" t="s">
        <v>3</v>
      </c>
      <c r="V641" t="s">
        <v>1322</v>
      </c>
      <c r="W641" s="5">
        <v>15.88</v>
      </c>
    </row>
    <row r="642" spans="1:23" ht="15" x14ac:dyDescent="0.2">
      <c r="A642" t="s">
        <v>1009</v>
      </c>
      <c r="B642" s="1">
        <f>45920</f>
        <v>45920</v>
      </c>
      <c r="C642" t="s">
        <v>0</v>
      </c>
      <c r="D642">
        <v>108108</v>
      </c>
      <c r="E642" s="2">
        <v>25004705</v>
      </c>
      <c r="F642" s="2">
        <v>1</v>
      </c>
      <c r="G642" t="s">
        <v>1589</v>
      </c>
      <c r="H642" t="s">
        <v>1267</v>
      </c>
      <c r="I642" t="s">
        <v>1908</v>
      </c>
      <c r="J642" t="s">
        <v>1323</v>
      </c>
      <c r="K642" s="3">
        <v>1</v>
      </c>
      <c r="L642" s="4">
        <v>5.4</v>
      </c>
      <c r="O642" t="s">
        <v>2</v>
      </c>
      <c r="P642" t="s">
        <v>795</v>
      </c>
      <c r="Q642" s="2">
        <v>10</v>
      </c>
      <c r="R642" s="5">
        <v>6</v>
      </c>
      <c r="S642" s="5">
        <v>0.6</v>
      </c>
      <c r="T642" s="2">
        <v>5</v>
      </c>
      <c r="U642" t="s">
        <v>3</v>
      </c>
      <c r="V642" t="s">
        <v>253</v>
      </c>
      <c r="W642" s="5">
        <v>28.74</v>
      </c>
    </row>
    <row r="643" spans="1:23" ht="15" x14ac:dyDescent="0.2">
      <c r="A643" t="s">
        <v>1009</v>
      </c>
      <c r="B643" s="1">
        <f>45920</f>
        <v>45920</v>
      </c>
      <c r="C643" t="s">
        <v>0</v>
      </c>
      <c r="D643">
        <v>108108</v>
      </c>
      <c r="E643" s="2">
        <v>25004705</v>
      </c>
      <c r="F643" s="2">
        <v>2</v>
      </c>
      <c r="G643" t="s">
        <v>1363</v>
      </c>
      <c r="H643" t="s">
        <v>1045</v>
      </c>
      <c r="I643" t="s">
        <v>1908</v>
      </c>
      <c r="J643" t="s">
        <v>1323</v>
      </c>
      <c r="K643" s="3">
        <v>1</v>
      </c>
      <c r="L643" s="4">
        <v>28.8</v>
      </c>
      <c r="O643" t="s">
        <v>2</v>
      </c>
      <c r="P643" t="s">
        <v>795</v>
      </c>
      <c r="Q643" s="2">
        <v>10</v>
      </c>
      <c r="R643" s="5">
        <v>32</v>
      </c>
      <c r="S643" s="5">
        <v>3.2</v>
      </c>
      <c r="T643" s="2">
        <v>29</v>
      </c>
      <c r="U643" t="s">
        <v>3</v>
      </c>
      <c r="V643" t="s">
        <v>253</v>
      </c>
      <c r="W643" s="5">
        <v>28.74</v>
      </c>
    </row>
    <row r="644" spans="1:23" ht="15" x14ac:dyDescent="0.2">
      <c r="A644" t="s">
        <v>1009</v>
      </c>
      <c r="B644" s="1">
        <f>45920</f>
        <v>45920</v>
      </c>
      <c r="C644" t="s">
        <v>0</v>
      </c>
      <c r="D644">
        <v>108108</v>
      </c>
      <c r="E644" s="2">
        <v>25004706</v>
      </c>
      <c r="F644" s="2">
        <v>1</v>
      </c>
      <c r="G644" t="s">
        <v>1646</v>
      </c>
      <c r="H644" t="s">
        <v>361</v>
      </c>
      <c r="I644" t="s">
        <v>1647</v>
      </c>
      <c r="J644" t="s">
        <v>1323</v>
      </c>
      <c r="K644" s="3">
        <v>1</v>
      </c>
      <c r="L644" s="4">
        <v>-450</v>
      </c>
      <c r="Q644" s="2">
        <v>0</v>
      </c>
      <c r="R644" s="5">
        <v>-450</v>
      </c>
      <c r="S644" s="5">
        <v>0</v>
      </c>
      <c r="T644" s="2">
        <v>-450</v>
      </c>
      <c r="U644" t="s">
        <v>1</v>
      </c>
      <c r="V644" t="s">
        <v>361</v>
      </c>
      <c r="W644" s="5">
        <v>-450</v>
      </c>
    </row>
    <row r="645" spans="1:23" ht="15" x14ac:dyDescent="0.2">
      <c r="A645" t="s">
        <v>1009</v>
      </c>
      <c r="B645" s="1">
        <f>45922</f>
        <v>45922</v>
      </c>
      <c r="C645" t="s">
        <v>0</v>
      </c>
      <c r="D645">
        <v>108108</v>
      </c>
      <c r="E645" s="2">
        <v>25004707</v>
      </c>
      <c r="F645" s="2">
        <v>1</v>
      </c>
      <c r="G645" t="s">
        <v>1646</v>
      </c>
      <c r="H645" t="s">
        <v>361</v>
      </c>
      <c r="I645" t="s">
        <v>1647</v>
      </c>
      <c r="J645" t="s">
        <v>1323</v>
      </c>
      <c r="K645" s="3">
        <v>1</v>
      </c>
      <c r="L645" s="4">
        <v>450</v>
      </c>
      <c r="Q645" s="2">
        <v>0</v>
      </c>
      <c r="R645" s="5">
        <v>450</v>
      </c>
      <c r="S645" s="5">
        <v>0</v>
      </c>
      <c r="T645" s="2">
        <v>450</v>
      </c>
      <c r="U645" t="s">
        <v>1</v>
      </c>
      <c r="V645" t="s">
        <v>361</v>
      </c>
      <c r="W645" s="5">
        <v>450</v>
      </c>
    </row>
    <row r="646" spans="1:23" ht="15" x14ac:dyDescent="0.2">
      <c r="A646" t="s">
        <v>1009</v>
      </c>
      <c r="B646" s="1">
        <f>45922</f>
        <v>45922</v>
      </c>
      <c r="C646" t="s">
        <v>0</v>
      </c>
      <c r="D646">
        <v>108108</v>
      </c>
      <c r="E646" s="2">
        <v>25004708</v>
      </c>
      <c r="F646" s="2">
        <v>1</v>
      </c>
      <c r="G646" t="s">
        <v>1543</v>
      </c>
      <c r="H646" t="s">
        <v>1222</v>
      </c>
      <c r="I646" t="s">
        <v>1909</v>
      </c>
      <c r="J646" t="s">
        <v>1325</v>
      </c>
      <c r="K646" s="3">
        <v>1</v>
      </c>
      <c r="L646" s="4">
        <v>18.899999999999999</v>
      </c>
      <c r="O646" t="s">
        <v>2</v>
      </c>
      <c r="P646" t="s">
        <v>796</v>
      </c>
      <c r="Q646" s="2">
        <v>0</v>
      </c>
      <c r="R646" s="5">
        <v>18.899999999999999</v>
      </c>
      <c r="S646" s="5">
        <v>0</v>
      </c>
      <c r="T646" s="2">
        <v>19</v>
      </c>
      <c r="U646" t="s">
        <v>3</v>
      </c>
      <c r="V646" t="s">
        <v>254</v>
      </c>
      <c r="W646" s="5">
        <v>15.88</v>
      </c>
    </row>
    <row r="647" spans="1:23" ht="15" x14ac:dyDescent="0.2">
      <c r="A647" t="s">
        <v>1009</v>
      </c>
      <c r="B647" s="1">
        <f>45922</f>
        <v>45922</v>
      </c>
      <c r="C647" t="s">
        <v>0</v>
      </c>
      <c r="D647">
        <v>108108</v>
      </c>
      <c r="E647" s="2">
        <v>25004709</v>
      </c>
      <c r="F647" s="2">
        <v>1</v>
      </c>
      <c r="G647" t="s">
        <v>1361</v>
      </c>
      <c r="H647" t="s">
        <v>1043</v>
      </c>
      <c r="I647" t="s">
        <v>1910</v>
      </c>
      <c r="J647" t="s">
        <v>1325</v>
      </c>
      <c r="K647" s="3">
        <v>1</v>
      </c>
      <c r="L647" s="4">
        <v>22.9</v>
      </c>
      <c r="O647" t="s">
        <v>2</v>
      </c>
      <c r="P647" t="s">
        <v>797</v>
      </c>
      <c r="Q647" s="2">
        <v>0</v>
      </c>
      <c r="R647" s="5">
        <v>22.9</v>
      </c>
      <c r="S647" s="5">
        <v>0</v>
      </c>
      <c r="T647" s="2">
        <v>23</v>
      </c>
      <c r="U647" t="s">
        <v>3</v>
      </c>
      <c r="V647" t="s">
        <v>255</v>
      </c>
      <c r="W647" s="5">
        <v>19.239999999999998</v>
      </c>
    </row>
    <row r="648" spans="1:23" ht="15" x14ac:dyDescent="0.2">
      <c r="A648" t="s">
        <v>1009</v>
      </c>
      <c r="B648" s="1">
        <f>45922</f>
        <v>45922</v>
      </c>
      <c r="C648" t="s">
        <v>0</v>
      </c>
      <c r="D648">
        <v>108108</v>
      </c>
      <c r="E648" s="2">
        <v>25004710</v>
      </c>
      <c r="F648" s="2">
        <v>1</v>
      </c>
      <c r="G648" t="s">
        <v>1351</v>
      </c>
      <c r="H648" t="s">
        <v>1033</v>
      </c>
      <c r="I648" t="s">
        <v>1691</v>
      </c>
      <c r="J648" t="s">
        <v>1325</v>
      </c>
      <c r="K648" s="3">
        <v>1</v>
      </c>
      <c r="L648" s="4">
        <v>21.9</v>
      </c>
      <c r="O648" t="s">
        <v>2</v>
      </c>
      <c r="P648" t="s">
        <v>798</v>
      </c>
      <c r="Q648" s="2">
        <v>0</v>
      </c>
      <c r="R648" s="5">
        <v>21.9</v>
      </c>
      <c r="S648" s="5">
        <v>0</v>
      </c>
      <c r="T648" s="2">
        <v>22</v>
      </c>
      <c r="U648" t="s">
        <v>3</v>
      </c>
      <c r="V648" t="s">
        <v>47</v>
      </c>
      <c r="W648" s="5">
        <v>18.399999999999999</v>
      </c>
    </row>
    <row r="649" spans="1:23" ht="15" x14ac:dyDescent="0.2">
      <c r="A649" t="s">
        <v>1009</v>
      </c>
      <c r="B649" s="1">
        <f>45922</f>
        <v>45922</v>
      </c>
      <c r="C649" t="s">
        <v>0</v>
      </c>
      <c r="D649">
        <v>108108</v>
      </c>
      <c r="E649" s="2">
        <v>25004711</v>
      </c>
      <c r="F649" s="2">
        <v>1</v>
      </c>
      <c r="G649" t="s">
        <v>1414</v>
      </c>
      <c r="H649" t="s">
        <v>1096</v>
      </c>
      <c r="I649" t="s">
        <v>1647</v>
      </c>
      <c r="J649" t="s">
        <v>1323</v>
      </c>
      <c r="K649" s="3">
        <v>1</v>
      </c>
      <c r="L649" s="4">
        <v>22.9</v>
      </c>
      <c r="O649" t="s">
        <v>2</v>
      </c>
      <c r="P649" t="s">
        <v>799</v>
      </c>
      <c r="Q649" s="2">
        <v>0</v>
      </c>
      <c r="R649" s="5">
        <v>22.9</v>
      </c>
      <c r="S649" s="5">
        <v>0</v>
      </c>
      <c r="T649" s="2">
        <v>23</v>
      </c>
      <c r="U649" t="s">
        <v>3</v>
      </c>
      <c r="V649" t="s">
        <v>1322</v>
      </c>
      <c r="W649" s="5">
        <v>23.44</v>
      </c>
    </row>
    <row r="650" spans="1:23" ht="15" x14ac:dyDescent="0.2">
      <c r="A650" t="s">
        <v>1009</v>
      </c>
      <c r="B650" s="1">
        <f>45922</f>
        <v>45922</v>
      </c>
      <c r="C650" t="s">
        <v>0</v>
      </c>
      <c r="D650">
        <v>108108</v>
      </c>
      <c r="E650" s="2">
        <v>25004711</v>
      </c>
      <c r="F650" s="2">
        <v>2</v>
      </c>
      <c r="G650" t="s">
        <v>1332</v>
      </c>
      <c r="H650" t="s">
        <v>362</v>
      </c>
      <c r="I650" t="s">
        <v>1647</v>
      </c>
      <c r="J650" t="s">
        <v>1323</v>
      </c>
      <c r="K650" s="3">
        <v>1</v>
      </c>
      <c r="L650" s="4">
        <v>5</v>
      </c>
      <c r="O650" t="s">
        <v>2</v>
      </c>
      <c r="P650" t="s">
        <v>799</v>
      </c>
      <c r="Q650" s="2">
        <v>0</v>
      </c>
      <c r="R650" s="5">
        <v>5</v>
      </c>
      <c r="S650" s="5">
        <v>0</v>
      </c>
      <c r="T650" s="2">
        <v>5</v>
      </c>
      <c r="U650" t="s">
        <v>3</v>
      </c>
      <c r="V650" t="s">
        <v>1322</v>
      </c>
      <c r="W650" s="5">
        <v>23.44</v>
      </c>
    </row>
    <row r="651" spans="1:23" ht="15" x14ac:dyDescent="0.2">
      <c r="A651" t="s">
        <v>1009</v>
      </c>
      <c r="B651" s="1">
        <f>45922</f>
        <v>45922</v>
      </c>
      <c r="C651" t="s">
        <v>0</v>
      </c>
      <c r="D651">
        <v>108108</v>
      </c>
      <c r="E651" s="2">
        <v>25004712</v>
      </c>
      <c r="F651" s="2">
        <v>1</v>
      </c>
      <c r="G651" t="s">
        <v>1342</v>
      </c>
      <c r="H651" t="s">
        <v>1024</v>
      </c>
      <c r="I651" t="s">
        <v>1647</v>
      </c>
      <c r="J651" t="s">
        <v>1323</v>
      </c>
      <c r="K651" s="3">
        <v>1</v>
      </c>
      <c r="L651" s="4">
        <v>21.9</v>
      </c>
      <c r="O651" t="s">
        <v>2</v>
      </c>
      <c r="P651" t="s">
        <v>800</v>
      </c>
      <c r="Q651" s="2">
        <v>0</v>
      </c>
      <c r="R651" s="5">
        <v>21.9</v>
      </c>
      <c r="S651" s="5">
        <v>0</v>
      </c>
      <c r="T651" s="2">
        <v>22</v>
      </c>
      <c r="U651" t="s">
        <v>3</v>
      </c>
      <c r="V651" t="s">
        <v>1322</v>
      </c>
      <c r="W651" s="5">
        <v>18.399999999999999</v>
      </c>
    </row>
    <row r="652" spans="1:23" ht="15" x14ac:dyDescent="0.2">
      <c r="A652" t="s">
        <v>1009</v>
      </c>
      <c r="B652" s="1">
        <f>45922</f>
        <v>45922</v>
      </c>
      <c r="C652" t="s">
        <v>0</v>
      </c>
      <c r="D652">
        <v>108108</v>
      </c>
      <c r="E652" s="2">
        <v>25004713</v>
      </c>
      <c r="F652" s="2">
        <v>1</v>
      </c>
      <c r="G652" t="s">
        <v>1590</v>
      </c>
      <c r="H652" t="s">
        <v>1268</v>
      </c>
      <c r="I652" t="s">
        <v>1911</v>
      </c>
      <c r="J652" t="s">
        <v>1325</v>
      </c>
      <c r="K652" s="3">
        <v>1</v>
      </c>
      <c r="L652" s="4">
        <v>17.899999999999999</v>
      </c>
      <c r="O652" t="s">
        <v>2</v>
      </c>
      <c r="P652" t="s">
        <v>801</v>
      </c>
      <c r="Q652" s="2">
        <v>0</v>
      </c>
      <c r="R652" s="5">
        <v>17.899999999999999</v>
      </c>
      <c r="S652" s="5">
        <v>0</v>
      </c>
      <c r="T652" s="2">
        <v>18</v>
      </c>
      <c r="U652" t="s">
        <v>3</v>
      </c>
      <c r="V652" t="s">
        <v>256</v>
      </c>
      <c r="W652" s="5">
        <v>53.52</v>
      </c>
    </row>
    <row r="653" spans="1:23" ht="15" x14ac:dyDescent="0.2">
      <c r="A653" t="s">
        <v>1009</v>
      </c>
      <c r="B653" s="1">
        <f>45922</f>
        <v>45922</v>
      </c>
      <c r="C653" t="s">
        <v>0</v>
      </c>
      <c r="D653">
        <v>108108</v>
      </c>
      <c r="E653" s="2">
        <v>25004713</v>
      </c>
      <c r="F653" s="2">
        <v>2</v>
      </c>
      <c r="G653" t="s">
        <v>1590</v>
      </c>
      <c r="H653" t="s">
        <v>1268</v>
      </c>
      <c r="I653" t="s">
        <v>1911</v>
      </c>
      <c r="J653" t="s">
        <v>1325</v>
      </c>
      <c r="K653" s="3">
        <v>1</v>
      </c>
      <c r="L653" s="4">
        <v>17.899999999999999</v>
      </c>
      <c r="O653" t="s">
        <v>2</v>
      </c>
      <c r="P653" t="s">
        <v>801</v>
      </c>
      <c r="Q653" s="2">
        <v>0</v>
      </c>
      <c r="R653" s="5">
        <v>17.899999999999999</v>
      </c>
      <c r="S653" s="5">
        <v>0</v>
      </c>
      <c r="T653" s="2">
        <v>18</v>
      </c>
      <c r="U653" t="s">
        <v>3</v>
      </c>
      <c r="V653" t="s">
        <v>256</v>
      </c>
      <c r="W653" s="5">
        <v>53.52</v>
      </c>
    </row>
    <row r="654" spans="1:23" ht="15" x14ac:dyDescent="0.2">
      <c r="A654" t="s">
        <v>1009</v>
      </c>
      <c r="B654" s="1">
        <f>45922</f>
        <v>45922</v>
      </c>
      <c r="C654" t="s">
        <v>0</v>
      </c>
      <c r="D654">
        <v>108108</v>
      </c>
      <c r="E654" s="2">
        <v>25004713</v>
      </c>
      <c r="F654" s="2">
        <v>3</v>
      </c>
      <c r="G654" t="s">
        <v>1590</v>
      </c>
      <c r="H654" t="s">
        <v>1268</v>
      </c>
      <c r="I654" t="s">
        <v>1911</v>
      </c>
      <c r="J654" t="s">
        <v>1325</v>
      </c>
      <c r="K654" s="3">
        <v>1</v>
      </c>
      <c r="L654" s="4">
        <v>17.899999999999999</v>
      </c>
      <c r="O654" t="s">
        <v>2</v>
      </c>
      <c r="P654" t="s">
        <v>801</v>
      </c>
      <c r="Q654" s="2">
        <v>0</v>
      </c>
      <c r="R654" s="5">
        <v>17.899999999999999</v>
      </c>
      <c r="S654" s="5">
        <v>0</v>
      </c>
      <c r="T654" s="2">
        <v>18</v>
      </c>
      <c r="U654" t="s">
        <v>3</v>
      </c>
      <c r="V654" t="s">
        <v>256</v>
      </c>
      <c r="W654" s="5">
        <v>53.52</v>
      </c>
    </row>
    <row r="655" spans="1:23" ht="15" x14ac:dyDescent="0.2">
      <c r="A655" t="s">
        <v>1009</v>
      </c>
      <c r="B655" s="1">
        <f>45922</f>
        <v>45922</v>
      </c>
      <c r="C655" t="s">
        <v>0</v>
      </c>
      <c r="D655">
        <v>108108</v>
      </c>
      <c r="E655" s="2">
        <v>25004713</v>
      </c>
      <c r="F655" s="2">
        <v>4</v>
      </c>
      <c r="G655" t="s">
        <v>1332</v>
      </c>
      <c r="H655" t="s">
        <v>362</v>
      </c>
      <c r="I655" t="s">
        <v>1911</v>
      </c>
      <c r="J655" t="s">
        <v>1325</v>
      </c>
      <c r="K655" s="3">
        <v>1</v>
      </c>
      <c r="L655" s="4">
        <v>5</v>
      </c>
      <c r="O655" t="s">
        <v>2</v>
      </c>
      <c r="P655" t="s">
        <v>801</v>
      </c>
      <c r="Q655" s="2">
        <v>0</v>
      </c>
      <c r="R655" s="5">
        <v>5</v>
      </c>
      <c r="S655" s="5">
        <v>0</v>
      </c>
      <c r="T655" s="2">
        <v>5</v>
      </c>
      <c r="U655" t="s">
        <v>3</v>
      </c>
      <c r="V655" t="s">
        <v>256</v>
      </c>
      <c r="W655" s="5">
        <v>53.52</v>
      </c>
    </row>
    <row r="656" spans="1:23" ht="15" x14ac:dyDescent="0.2">
      <c r="A656" t="s">
        <v>1009</v>
      </c>
      <c r="B656" s="1">
        <f>45922</f>
        <v>45922</v>
      </c>
      <c r="C656" t="s">
        <v>0</v>
      </c>
      <c r="D656">
        <v>108108</v>
      </c>
      <c r="E656" s="2">
        <v>25004713</v>
      </c>
      <c r="F656" s="2">
        <v>5</v>
      </c>
      <c r="G656" t="s">
        <v>1332</v>
      </c>
      <c r="H656" t="s">
        <v>362</v>
      </c>
      <c r="I656" t="s">
        <v>1911</v>
      </c>
      <c r="J656" t="s">
        <v>1325</v>
      </c>
      <c r="K656" s="3">
        <v>1</v>
      </c>
      <c r="L656" s="4">
        <v>5</v>
      </c>
      <c r="O656" t="s">
        <v>2</v>
      </c>
      <c r="P656" t="s">
        <v>801</v>
      </c>
      <c r="Q656" s="2">
        <v>0</v>
      </c>
      <c r="R656" s="5">
        <v>5</v>
      </c>
      <c r="S656" s="5">
        <v>0</v>
      </c>
      <c r="T656" s="2">
        <v>5</v>
      </c>
      <c r="U656" t="s">
        <v>3</v>
      </c>
      <c r="V656" t="s">
        <v>256</v>
      </c>
      <c r="W656" s="5">
        <v>53.52</v>
      </c>
    </row>
    <row r="657" spans="1:23" ht="15" x14ac:dyDescent="0.2">
      <c r="A657" t="s">
        <v>1009</v>
      </c>
      <c r="B657" s="1">
        <f>45922</f>
        <v>45922</v>
      </c>
      <c r="C657" t="s">
        <v>0</v>
      </c>
      <c r="D657">
        <v>108108</v>
      </c>
      <c r="E657" s="2">
        <v>25004714</v>
      </c>
      <c r="F657" s="2">
        <v>1</v>
      </c>
      <c r="G657" t="s">
        <v>1463</v>
      </c>
      <c r="H657" t="s">
        <v>1144</v>
      </c>
      <c r="I657" t="s">
        <v>1912</v>
      </c>
      <c r="J657" t="s">
        <v>1323</v>
      </c>
      <c r="K657" s="3">
        <v>1</v>
      </c>
      <c r="L657" s="4">
        <v>22.9</v>
      </c>
      <c r="O657" t="s">
        <v>2</v>
      </c>
      <c r="P657" t="s">
        <v>802</v>
      </c>
      <c r="Q657" s="2">
        <v>0</v>
      </c>
      <c r="R657" s="5">
        <v>22.9</v>
      </c>
      <c r="S657" s="5">
        <v>0</v>
      </c>
      <c r="T657" s="2">
        <v>23</v>
      </c>
      <c r="U657" t="s">
        <v>3</v>
      </c>
      <c r="V657" t="s">
        <v>257</v>
      </c>
      <c r="W657" s="5">
        <v>19.239999999999998</v>
      </c>
    </row>
    <row r="658" spans="1:23" ht="15" x14ac:dyDescent="0.2">
      <c r="A658" t="s">
        <v>1009</v>
      </c>
      <c r="B658" s="1">
        <f>45922</f>
        <v>45922</v>
      </c>
      <c r="C658" t="s">
        <v>0</v>
      </c>
      <c r="D658">
        <v>108108</v>
      </c>
      <c r="E658" s="2">
        <v>25004715</v>
      </c>
      <c r="F658" s="2">
        <v>1</v>
      </c>
      <c r="G658" t="s">
        <v>1363</v>
      </c>
      <c r="H658" t="s">
        <v>1045</v>
      </c>
      <c r="I658" t="s">
        <v>1913</v>
      </c>
      <c r="J658" t="s">
        <v>1323</v>
      </c>
      <c r="K658" s="3">
        <v>1</v>
      </c>
      <c r="L658" s="4">
        <v>28.8</v>
      </c>
      <c r="O658" t="s">
        <v>2</v>
      </c>
      <c r="P658" t="s">
        <v>803</v>
      </c>
      <c r="Q658" s="2">
        <v>10</v>
      </c>
      <c r="R658" s="5">
        <v>32</v>
      </c>
      <c r="S658" s="5">
        <v>3.2</v>
      </c>
      <c r="T658" s="2">
        <v>29</v>
      </c>
      <c r="U658" t="s">
        <v>3</v>
      </c>
      <c r="V658" t="s">
        <v>258</v>
      </c>
      <c r="W658" s="5">
        <v>49.16</v>
      </c>
    </row>
    <row r="659" spans="1:23" ht="15" x14ac:dyDescent="0.2">
      <c r="A659" t="s">
        <v>1009</v>
      </c>
      <c r="B659" s="1">
        <f>45922</f>
        <v>45922</v>
      </c>
      <c r="C659" t="s">
        <v>0</v>
      </c>
      <c r="D659">
        <v>108108</v>
      </c>
      <c r="E659" s="2">
        <v>25004715</v>
      </c>
      <c r="F659" s="2">
        <v>2</v>
      </c>
      <c r="G659" t="s">
        <v>1393</v>
      </c>
      <c r="H659" t="s">
        <v>1075</v>
      </c>
      <c r="I659" t="s">
        <v>1913</v>
      </c>
      <c r="J659" t="s">
        <v>1323</v>
      </c>
      <c r="K659" s="3">
        <v>1</v>
      </c>
      <c r="L659" s="4">
        <v>29.7</v>
      </c>
      <c r="O659" t="s">
        <v>2</v>
      </c>
      <c r="P659" t="s">
        <v>803</v>
      </c>
      <c r="Q659" s="2">
        <v>10</v>
      </c>
      <c r="R659" s="5">
        <v>33</v>
      </c>
      <c r="S659" s="5">
        <v>3.3</v>
      </c>
      <c r="T659" s="2">
        <v>30</v>
      </c>
      <c r="U659" t="s">
        <v>3</v>
      </c>
      <c r="V659" t="s">
        <v>258</v>
      </c>
      <c r="W659" s="5">
        <v>49.16</v>
      </c>
    </row>
    <row r="660" spans="1:23" ht="15" x14ac:dyDescent="0.2">
      <c r="A660" t="s">
        <v>1009</v>
      </c>
      <c r="B660" s="1">
        <f>45922</f>
        <v>45922</v>
      </c>
      <c r="C660" t="s">
        <v>0</v>
      </c>
      <c r="D660">
        <v>108108</v>
      </c>
      <c r="E660" s="2">
        <v>25004716</v>
      </c>
      <c r="F660" s="2">
        <v>1</v>
      </c>
      <c r="G660" t="s">
        <v>1531</v>
      </c>
      <c r="H660" t="s">
        <v>1211</v>
      </c>
      <c r="I660" t="s">
        <v>1914</v>
      </c>
      <c r="J660" t="s">
        <v>1323</v>
      </c>
      <c r="K660" s="3">
        <v>1</v>
      </c>
      <c r="L660" s="4">
        <v>27.9</v>
      </c>
      <c r="O660" t="s">
        <v>2</v>
      </c>
      <c r="P660" t="s">
        <v>804</v>
      </c>
      <c r="Q660" s="2">
        <v>0</v>
      </c>
      <c r="R660" s="5">
        <v>27.9</v>
      </c>
      <c r="S660" s="5">
        <v>0</v>
      </c>
      <c r="T660" s="2">
        <v>28</v>
      </c>
      <c r="U660" t="s">
        <v>3</v>
      </c>
      <c r="V660" t="s">
        <v>259</v>
      </c>
      <c r="W660" s="5">
        <v>27.65</v>
      </c>
    </row>
    <row r="661" spans="1:23" ht="15" x14ac:dyDescent="0.2">
      <c r="A661" t="s">
        <v>1009</v>
      </c>
      <c r="B661" s="1">
        <f>45922</f>
        <v>45922</v>
      </c>
      <c r="C661" t="s">
        <v>0</v>
      </c>
      <c r="D661">
        <v>108108</v>
      </c>
      <c r="E661" s="2">
        <v>25004716</v>
      </c>
      <c r="F661" s="2">
        <v>2</v>
      </c>
      <c r="G661" t="s">
        <v>1332</v>
      </c>
      <c r="H661" t="s">
        <v>362</v>
      </c>
      <c r="I661" t="s">
        <v>1914</v>
      </c>
      <c r="J661" t="s">
        <v>1323</v>
      </c>
      <c r="K661" s="3">
        <v>1</v>
      </c>
      <c r="L661" s="4">
        <v>5</v>
      </c>
      <c r="O661" t="s">
        <v>2</v>
      </c>
      <c r="P661" t="s">
        <v>804</v>
      </c>
      <c r="Q661" s="2">
        <v>0</v>
      </c>
      <c r="R661" s="5">
        <v>5</v>
      </c>
      <c r="S661" s="5">
        <v>0</v>
      </c>
      <c r="T661" s="2">
        <v>5</v>
      </c>
      <c r="U661" t="s">
        <v>3</v>
      </c>
      <c r="V661" t="s">
        <v>259</v>
      </c>
      <c r="W661" s="5">
        <v>27.65</v>
      </c>
    </row>
    <row r="662" spans="1:23" ht="15" x14ac:dyDescent="0.2">
      <c r="A662" t="s">
        <v>1009</v>
      </c>
      <c r="B662" s="1">
        <f>45922</f>
        <v>45922</v>
      </c>
      <c r="C662" t="s">
        <v>0</v>
      </c>
      <c r="D662">
        <v>108108</v>
      </c>
      <c r="E662" s="2">
        <v>25004717</v>
      </c>
      <c r="F662" s="2">
        <v>1</v>
      </c>
      <c r="G662" t="s">
        <v>1591</v>
      </c>
      <c r="H662" t="s">
        <v>1269</v>
      </c>
      <c r="I662" t="s">
        <v>1915</v>
      </c>
      <c r="J662" t="s">
        <v>1323</v>
      </c>
      <c r="K662" s="3">
        <v>1</v>
      </c>
      <c r="L662" s="4">
        <v>18.899999999999999</v>
      </c>
      <c r="O662" t="s">
        <v>2</v>
      </c>
      <c r="P662" t="s">
        <v>805</v>
      </c>
      <c r="Q662" s="2">
        <v>0</v>
      </c>
      <c r="R662" s="5">
        <v>18.899999999999999</v>
      </c>
      <c r="S662" s="5">
        <v>0</v>
      </c>
      <c r="T662" s="2">
        <v>19</v>
      </c>
      <c r="U662" t="s">
        <v>3</v>
      </c>
      <c r="V662" t="s">
        <v>260</v>
      </c>
      <c r="W662" s="5">
        <v>15.88</v>
      </c>
    </row>
    <row r="663" spans="1:23" ht="15" x14ac:dyDescent="0.2">
      <c r="A663" t="s">
        <v>1009</v>
      </c>
      <c r="B663" s="1">
        <f>45922</f>
        <v>45922</v>
      </c>
      <c r="C663" t="s">
        <v>0</v>
      </c>
      <c r="D663">
        <v>108108</v>
      </c>
      <c r="E663" s="2">
        <v>25004718</v>
      </c>
      <c r="F663" s="2">
        <v>1</v>
      </c>
      <c r="G663" t="s">
        <v>1408</v>
      </c>
      <c r="H663" t="s">
        <v>1090</v>
      </c>
      <c r="I663" t="s">
        <v>1647</v>
      </c>
      <c r="J663" t="s">
        <v>1323</v>
      </c>
      <c r="K663" s="3">
        <v>1</v>
      </c>
      <c r="L663" s="4">
        <v>22.9</v>
      </c>
      <c r="O663" t="s">
        <v>2</v>
      </c>
      <c r="P663" t="s">
        <v>806</v>
      </c>
      <c r="Q663" s="2">
        <v>0</v>
      </c>
      <c r="R663" s="5">
        <v>22.9</v>
      </c>
      <c r="S663" s="5">
        <v>0</v>
      </c>
      <c r="T663" s="2">
        <v>23</v>
      </c>
      <c r="U663" t="s">
        <v>3</v>
      </c>
      <c r="V663" t="s">
        <v>1322</v>
      </c>
      <c r="W663" s="5">
        <v>19.239999999999998</v>
      </c>
    </row>
    <row r="664" spans="1:23" ht="15" x14ac:dyDescent="0.2">
      <c r="A664" t="s">
        <v>1009</v>
      </c>
      <c r="B664" s="1">
        <f>45922</f>
        <v>45922</v>
      </c>
      <c r="C664" t="s">
        <v>0</v>
      </c>
      <c r="D664">
        <v>108108</v>
      </c>
      <c r="E664" s="2">
        <v>25004719</v>
      </c>
      <c r="F664" s="2">
        <v>1</v>
      </c>
      <c r="G664" t="s">
        <v>1387</v>
      </c>
      <c r="H664" t="s">
        <v>1069</v>
      </c>
      <c r="I664" t="s">
        <v>1916</v>
      </c>
      <c r="J664" t="s">
        <v>1325</v>
      </c>
      <c r="K664" s="3">
        <v>1</v>
      </c>
      <c r="L664" s="4">
        <v>24.2</v>
      </c>
      <c r="O664" t="s">
        <v>2</v>
      </c>
      <c r="P664" t="s">
        <v>807</v>
      </c>
      <c r="Q664" s="2">
        <v>10</v>
      </c>
      <c r="R664" s="5">
        <v>26.9</v>
      </c>
      <c r="S664" s="5">
        <v>2.7</v>
      </c>
      <c r="T664" s="2">
        <v>24</v>
      </c>
      <c r="U664" t="s">
        <v>3</v>
      </c>
      <c r="V664" t="s">
        <v>261</v>
      </c>
      <c r="W664" s="5">
        <v>42.19</v>
      </c>
    </row>
    <row r="665" spans="1:23" ht="15" x14ac:dyDescent="0.2">
      <c r="A665" t="s">
        <v>1009</v>
      </c>
      <c r="B665" s="1">
        <f>45922</f>
        <v>45922</v>
      </c>
      <c r="C665" t="s">
        <v>0</v>
      </c>
      <c r="D665">
        <v>108108</v>
      </c>
      <c r="E665" s="2">
        <v>25004719</v>
      </c>
      <c r="F665" s="2">
        <v>2</v>
      </c>
      <c r="G665" t="s">
        <v>1592</v>
      </c>
      <c r="H665" t="s">
        <v>1270</v>
      </c>
      <c r="I665" t="s">
        <v>1916</v>
      </c>
      <c r="J665" t="s">
        <v>1325</v>
      </c>
      <c r="K665" s="3">
        <v>1</v>
      </c>
      <c r="L665" s="4">
        <v>10.8</v>
      </c>
      <c r="O665" t="s">
        <v>2</v>
      </c>
      <c r="P665" t="s">
        <v>807</v>
      </c>
      <c r="Q665" s="2">
        <v>10</v>
      </c>
      <c r="R665" s="5">
        <v>12</v>
      </c>
      <c r="S665" s="5">
        <v>1.2</v>
      </c>
      <c r="T665" s="2">
        <v>11</v>
      </c>
      <c r="U665" t="s">
        <v>3</v>
      </c>
      <c r="V665" t="s">
        <v>261</v>
      </c>
      <c r="W665" s="5">
        <v>42.19</v>
      </c>
    </row>
    <row r="666" spans="1:23" ht="15" x14ac:dyDescent="0.2">
      <c r="A666" t="s">
        <v>1009</v>
      </c>
      <c r="B666" s="1">
        <f>45922</f>
        <v>45922</v>
      </c>
      <c r="C666" t="s">
        <v>0</v>
      </c>
      <c r="D666">
        <v>108108</v>
      </c>
      <c r="E666" s="2">
        <v>25004719</v>
      </c>
      <c r="F666" s="2">
        <v>3</v>
      </c>
      <c r="G666" t="s">
        <v>1373</v>
      </c>
      <c r="H666" t="s">
        <v>1055</v>
      </c>
      <c r="I666" t="s">
        <v>1916</v>
      </c>
      <c r="J666" t="s">
        <v>1325</v>
      </c>
      <c r="K666" s="3">
        <v>1</v>
      </c>
      <c r="L666" s="4">
        <v>15.2</v>
      </c>
      <c r="O666" t="s">
        <v>2</v>
      </c>
      <c r="P666" t="s">
        <v>807</v>
      </c>
      <c r="Q666" s="2">
        <v>10</v>
      </c>
      <c r="R666" s="5">
        <v>16.899999999999999</v>
      </c>
      <c r="S666" s="5">
        <v>1.7</v>
      </c>
      <c r="T666" s="2">
        <v>15</v>
      </c>
      <c r="U666" t="s">
        <v>3</v>
      </c>
      <c r="V666" t="s">
        <v>261</v>
      </c>
      <c r="W666" s="5">
        <v>42.19</v>
      </c>
    </row>
    <row r="667" spans="1:23" ht="15" x14ac:dyDescent="0.2">
      <c r="A667" t="s">
        <v>1009</v>
      </c>
      <c r="B667" s="1">
        <f>45922</f>
        <v>45922</v>
      </c>
      <c r="C667" t="s">
        <v>0</v>
      </c>
      <c r="D667">
        <v>108108</v>
      </c>
      <c r="E667" s="2">
        <v>25004720</v>
      </c>
      <c r="F667" s="2">
        <v>1</v>
      </c>
      <c r="G667" t="s">
        <v>1531</v>
      </c>
      <c r="H667" t="s">
        <v>1211</v>
      </c>
      <c r="I667" t="s">
        <v>1647</v>
      </c>
      <c r="J667" t="s">
        <v>1325</v>
      </c>
      <c r="K667" s="3">
        <v>1</v>
      </c>
      <c r="L667" s="4">
        <v>27.9</v>
      </c>
      <c r="O667" t="s">
        <v>2</v>
      </c>
      <c r="P667" t="s">
        <v>808</v>
      </c>
      <c r="Q667" s="2">
        <v>0</v>
      </c>
      <c r="R667" s="5">
        <v>27.9</v>
      </c>
      <c r="S667" s="5">
        <v>0</v>
      </c>
      <c r="T667" s="2">
        <v>28</v>
      </c>
      <c r="U667" t="s">
        <v>3</v>
      </c>
      <c r="V667" t="s">
        <v>1322</v>
      </c>
      <c r="W667" s="5">
        <v>23.45</v>
      </c>
    </row>
    <row r="668" spans="1:23" ht="15" x14ac:dyDescent="0.2">
      <c r="A668" t="s">
        <v>1009</v>
      </c>
      <c r="B668" s="1">
        <f>45922</f>
        <v>45922</v>
      </c>
      <c r="C668" t="s">
        <v>0</v>
      </c>
      <c r="D668">
        <v>108108</v>
      </c>
      <c r="E668" s="2">
        <v>25004721</v>
      </c>
      <c r="F668" s="2">
        <v>1</v>
      </c>
      <c r="G668" t="s">
        <v>1574</v>
      </c>
      <c r="H668" t="s">
        <v>1252</v>
      </c>
      <c r="I668" t="s">
        <v>1647</v>
      </c>
      <c r="J668" t="s">
        <v>1323</v>
      </c>
      <c r="K668" s="3">
        <v>1</v>
      </c>
      <c r="L668" s="4">
        <v>17.899999999999999</v>
      </c>
      <c r="O668" t="s">
        <v>2</v>
      </c>
      <c r="P668" t="s">
        <v>809</v>
      </c>
      <c r="Q668" s="2">
        <v>0</v>
      </c>
      <c r="R668" s="5">
        <v>17.899999999999999</v>
      </c>
      <c r="S668" s="5">
        <v>0</v>
      </c>
      <c r="T668" s="2">
        <v>18</v>
      </c>
      <c r="U668" t="s">
        <v>3</v>
      </c>
      <c r="V668" t="s">
        <v>1322</v>
      </c>
      <c r="W668" s="5">
        <v>15.04</v>
      </c>
    </row>
    <row r="669" spans="1:23" ht="15" x14ac:dyDescent="0.2">
      <c r="A669" t="s">
        <v>1009</v>
      </c>
      <c r="B669" s="1">
        <f>45922</f>
        <v>45922</v>
      </c>
      <c r="C669" t="s">
        <v>0</v>
      </c>
      <c r="D669">
        <v>108108</v>
      </c>
      <c r="E669" s="2">
        <v>25004722</v>
      </c>
      <c r="F669" s="2">
        <v>1</v>
      </c>
      <c r="G669" t="s">
        <v>1501</v>
      </c>
      <c r="H669" t="s">
        <v>1182</v>
      </c>
      <c r="I669" t="s">
        <v>1910</v>
      </c>
      <c r="J669" t="s">
        <v>1324</v>
      </c>
      <c r="K669" s="3">
        <v>1</v>
      </c>
      <c r="L669" s="4">
        <v>26.9</v>
      </c>
      <c r="O669" t="s">
        <v>2</v>
      </c>
      <c r="P669" t="s">
        <v>810</v>
      </c>
      <c r="Q669" s="2">
        <v>0</v>
      </c>
      <c r="R669" s="5">
        <v>26.9</v>
      </c>
      <c r="S669" s="5">
        <v>0</v>
      </c>
      <c r="T669" s="2">
        <v>27</v>
      </c>
      <c r="U669" t="s">
        <v>3</v>
      </c>
      <c r="V669" t="s">
        <v>255</v>
      </c>
      <c r="W669" s="5">
        <v>22.61</v>
      </c>
    </row>
    <row r="670" spans="1:23" ht="15" x14ac:dyDescent="0.2">
      <c r="A670" t="s">
        <v>1009</v>
      </c>
      <c r="B670" s="1">
        <f>45922</f>
        <v>45922</v>
      </c>
      <c r="C670" t="s">
        <v>0</v>
      </c>
      <c r="D670">
        <v>108108</v>
      </c>
      <c r="E670" s="2">
        <v>25004723</v>
      </c>
      <c r="F670" s="2">
        <v>1</v>
      </c>
      <c r="G670" t="s">
        <v>1347</v>
      </c>
      <c r="H670" t="s">
        <v>1029</v>
      </c>
      <c r="I670" t="s">
        <v>1917</v>
      </c>
      <c r="J670" t="s">
        <v>1324</v>
      </c>
      <c r="K670" s="3">
        <v>1</v>
      </c>
      <c r="L670" s="4">
        <v>29.9</v>
      </c>
      <c r="O670" t="s">
        <v>2</v>
      </c>
      <c r="P670" t="s">
        <v>811</v>
      </c>
      <c r="Q670" s="2">
        <v>0</v>
      </c>
      <c r="R670" s="5">
        <v>29.9</v>
      </c>
      <c r="S670" s="5">
        <v>0</v>
      </c>
      <c r="T670" s="2">
        <v>30</v>
      </c>
      <c r="U670" t="s">
        <v>3</v>
      </c>
      <c r="V670" t="s">
        <v>262</v>
      </c>
      <c r="W670" s="5">
        <v>25.13</v>
      </c>
    </row>
    <row r="671" spans="1:23" ht="15" x14ac:dyDescent="0.2">
      <c r="A671" t="s">
        <v>1009</v>
      </c>
      <c r="B671" s="1">
        <f>45922</f>
        <v>45922</v>
      </c>
      <c r="C671" t="s">
        <v>0</v>
      </c>
      <c r="D671">
        <v>108108</v>
      </c>
      <c r="E671" s="2">
        <v>25004724</v>
      </c>
      <c r="F671" s="2">
        <v>1</v>
      </c>
      <c r="G671" t="s">
        <v>1513</v>
      </c>
      <c r="H671" t="s">
        <v>1194</v>
      </c>
      <c r="I671" t="s">
        <v>1918</v>
      </c>
      <c r="J671" t="s">
        <v>1323</v>
      </c>
      <c r="K671" s="3">
        <v>1</v>
      </c>
      <c r="L671" s="4">
        <v>9</v>
      </c>
      <c r="O671" t="s">
        <v>2</v>
      </c>
      <c r="P671" t="s">
        <v>812</v>
      </c>
      <c r="Q671" s="2">
        <v>40</v>
      </c>
      <c r="R671" s="5">
        <v>15</v>
      </c>
      <c r="S671" s="5">
        <v>6</v>
      </c>
      <c r="T671" s="2">
        <v>9</v>
      </c>
      <c r="U671" t="s">
        <v>3</v>
      </c>
      <c r="V671" t="s">
        <v>263</v>
      </c>
      <c r="W671" s="5">
        <v>22.69</v>
      </c>
    </row>
    <row r="672" spans="1:23" ht="15" x14ac:dyDescent="0.2">
      <c r="A672" t="s">
        <v>1009</v>
      </c>
      <c r="B672" s="1">
        <f>45922</f>
        <v>45922</v>
      </c>
      <c r="C672" t="s">
        <v>0</v>
      </c>
      <c r="D672">
        <v>108108</v>
      </c>
      <c r="E672" s="2">
        <v>25004724</v>
      </c>
      <c r="F672" s="2">
        <v>2</v>
      </c>
      <c r="G672" t="s">
        <v>1593</v>
      </c>
      <c r="H672" t="s">
        <v>1271</v>
      </c>
      <c r="I672" t="s">
        <v>1918</v>
      </c>
      <c r="J672" t="s">
        <v>1323</v>
      </c>
      <c r="K672" s="3">
        <v>1</v>
      </c>
      <c r="L672" s="4">
        <v>18</v>
      </c>
      <c r="O672" t="s">
        <v>2</v>
      </c>
      <c r="P672" t="s">
        <v>812</v>
      </c>
      <c r="Q672" s="2">
        <v>40</v>
      </c>
      <c r="R672" s="5">
        <v>30</v>
      </c>
      <c r="S672" s="5">
        <v>12</v>
      </c>
      <c r="T672" s="2">
        <v>18</v>
      </c>
      <c r="U672" t="s">
        <v>3</v>
      </c>
      <c r="V672" t="s">
        <v>263</v>
      </c>
      <c r="W672" s="5">
        <v>22.69</v>
      </c>
    </row>
    <row r="673" spans="1:23" ht="15" x14ac:dyDescent="0.2">
      <c r="A673" t="s">
        <v>1009</v>
      </c>
      <c r="B673" s="1">
        <f>45922</f>
        <v>45922</v>
      </c>
      <c r="C673" t="s">
        <v>0</v>
      </c>
      <c r="D673">
        <v>108108</v>
      </c>
      <c r="E673" s="2">
        <v>25004725</v>
      </c>
      <c r="F673" s="2">
        <v>1</v>
      </c>
      <c r="G673" t="s">
        <v>1509</v>
      </c>
      <c r="H673" t="s">
        <v>1190</v>
      </c>
      <c r="I673" t="s">
        <v>1919</v>
      </c>
      <c r="J673" t="s">
        <v>1324</v>
      </c>
      <c r="K673" s="3">
        <v>1</v>
      </c>
      <c r="L673" s="4">
        <v>21.5</v>
      </c>
      <c r="O673" t="s">
        <v>2</v>
      </c>
      <c r="P673" t="s">
        <v>813</v>
      </c>
      <c r="Q673" s="2">
        <v>0</v>
      </c>
      <c r="R673" s="5">
        <v>21.5</v>
      </c>
      <c r="S673" s="5">
        <v>0</v>
      </c>
      <c r="T673" s="2">
        <v>22</v>
      </c>
      <c r="U673" t="s">
        <v>3</v>
      </c>
      <c r="V673" t="s">
        <v>264</v>
      </c>
      <c r="W673" s="5">
        <v>43.2</v>
      </c>
    </row>
    <row r="674" spans="1:23" ht="15" x14ac:dyDescent="0.2">
      <c r="A674" t="s">
        <v>1009</v>
      </c>
      <c r="B674" s="1">
        <f>45922</f>
        <v>45922</v>
      </c>
      <c r="C674" t="s">
        <v>0</v>
      </c>
      <c r="D674">
        <v>108108</v>
      </c>
      <c r="E674" s="2">
        <v>25004725</v>
      </c>
      <c r="F674" s="2">
        <v>2</v>
      </c>
      <c r="G674" t="s">
        <v>1327</v>
      </c>
      <c r="H674" t="s">
        <v>1010</v>
      </c>
      <c r="I674" t="s">
        <v>1919</v>
      </c>
      <c r="J674" t="s">
        <v>1324</v>
      </c>
      <c r="K674" s="3">
        <v>1</v>
      </c>
      <c r="L674" s="4">
        <v>29.9</v>
      </c>
      <c r="O674" t="s">
        <v>2</v>
      </c>
      <c r="P674" t="s">
        <v>813</v>
      </c>
      <c r="Q674" s="2">
        <v>0</v>
      </c>
      <c r="R674" s="5">
        <v>29.9</v>
      </c>
      <c r="S674" s="5">
        <v>0</v>
      </c>
      <c r="T674" s="2">
        <v>30</v>
      </c>
      <c r="U674" t="s">
        <v>3</v>
      </c>
      <c r="V674" t="s">
        <v>264</v>
      </c>
      <c r="W674" s="5">
        <v>43.2</v>
      </c>
    </row>
    <row r="675" spans="1:23" ht="15" x14ac:dyDescent="0.2">
      <c r="A675" t="s">
        <v>1009</v>
      </c>
      <c r="B675" s="1">
        <f>45922</f>
        <v>45922</v>
      </c>
      <c r="C675" t="s">
        <v>0</v>
      </c>
      <c r="D675">
        <v>108108</v>
      </c>
      <c r="E675" s="2">
        <v>25004726</v>
      </c>
      <c r="F675" s="2">
        <v>1</v>
      </c>
      <c r="G675" t="s">
        <v>1525</v>
      </c>
      <c r="H675" t="s">
        <v>1205</v>
      </c>
      <c r="I675" t="s">
        <v>1920</v>
      </c>
      <c r="J675" t="s">
        <v>1324</v>
      </c>
      <c r="K675" s="3">
        <v>1</v>
      </c>
      <c r="L675" s="4">
        <v>22.9</v>
      </c>
      <c r="O675" t="s">
        <v>2</v>
      </c>
      <c r="P675" t="s">
        <v>814</v>
      </c>
      <c r="Q675" s="2">
        <v>0</v>
      </c>
      <c r="R675" s="5">
        <v>22.9</v>
      </c>
      <c r="S675" s="5">
        <v>0</v>
      </c>
      <c r="T675" s="2">
        <v>23</v>
      </c>
      <c r="U675" t="s">
        <v>3</v>
      </c>
      <c r="V675" t="s">
        <v>265</v>
      </c>
      <c r="W675" s="5">
        <v>19.239999999999998</v>
      </c>
    </row>
    <row r="676" spans="1:23" ht="15" x14ac:dyDescent="0.2">
      <c r="A676" t="s">
        <v>1009</v>
      </c>
      <c r="B676" s="1">
        <f>45922</f>
        <v>45922</v>
      </c>
      <c r="C676" t="s">
        <v>0</v>
      </c>
      <c r="D676">
        <v>108108</v>
      </c>
      <c r="E676" s="2">
        <v>25004727</v>
      </c>
      <c r="F676" s="2">
        <v>1</v>
      </c>
      <c r="G676" t="s">
        <v>1594</v>
      </c>
      <c r="H676" t="s">
        <v>1272</v>
      </c>
      <c r="I676" t="s">
        <v>1921</v>
      </c>
      <c r="J676" t="s">
        <v>1324</v>
      </c>
      <c r="K676" s="3">
        <v>1</v>
      </c>
      <c r="L676" s="4">
        <v>29.9</v>
      </c>
      <c r="O676" t="s">
        <v>2</v>
      </c>
      <c r="P676" t="s">
        <v>815</v>
      </c>
      <c r="Q676" s="2">
        <v>0</v>
      </c>
      <c r="R676" s="5">
        <v>29.9</v>
      </c>
      <c r="S676" s="5">
        <v>0</v>
      </c>
      <c r="T676" s="2">
        <v>30</v>
      </c>
      <c r="U676" t="s">
        <v>3</v>
      </c>
      <c r="V676" t="s">
        <v>266</v>
      </c>
      <c r="W676" s="5">
        <v>25.13</v>
      </c>
    </row>
    <row r="677" spans="1:23" ht="15" x14ac:dyDescent="0.2">
      <c r="A677" t="s">
        <v>1009</v>
      </c>
      <c r="B677" s="1">
        <f>45922</f>
        <v>45922</v>
      </c>
      <c r="C677" t="s">
        <v>0</v>
      </c>
      <c r="D677">
        <v>108108</v>
      </c>
      <c r="E677" s="2">
        <v>25004728</v>
      </c>
      <c r="F677" s="2">
        <v>1</v>
      </c>
      <c r="G677" t="s">
        <v>1595</v>
      </c>
      <c r="H677" t="s">
        <v>1273</v>
      </c>
      <c r="I677" t="s">
        <v>1922</v>
      </c>
      <c r="J677" t="s">
        <v>1324</v>
      </c>
      <c r="K677" s="3">
        <v>1</v>
      </c>
      <c r="L677" s="4">
        <v>16.899999999999999</v>
      </c>
      <c r="O677" t="s">
        <v>2</v>
      </c>
      <c r="P677" t="s">
        <v>816</v>
      </c>
      <c r="Q677" s="2">
        <v>0</v>
      </c>
      <c r="R677" s="5">
        <v>16.899999999999999</v>
      </c>
      <c r="S677" s="5">
        <v>0</v>
      </c>
      <c r="T677" s="2">
        <v>17</v>
      </c>
      <c r="U677" t="s">
        <v>3</v>
      </c>
      <c r="V677" t="s">
        <v>267</v>
      </c>
      <c r="W677" s="5">
        <v>28.4</v>
      </c>
    </row>
    <row r="678" spans="1:23" ht="15" x14ac:dyDescent="0.2">
      <c r="A678" t="s">
        <v>1009</v>
      </c>
      <c r="B678" s="1">
        <f>45922</f>
        <v>45922</v>
      </c>
      <c r="C678" t="s">
        <v>0</v>
      </c>
      <c r="D678">
        <v>108108</v>
      </c>
      <c r="E678" s="2">
        <v>25004728</v>
      </c>
      <c r="F678" s="2">
        <v>2</v>
      </c>
      <c r="G678" t="s">
        <v>1373</v>
      </c>
      <c r="H678" t="s">
        <v>1055</v>
      </c>
      <c r="I678" t="s">
        <v>1922</v>
      </c>
      <c r="J678" t="s">
        <v>1324</v>
      </c>
      <c r="K678" s="3">
        <v>1</v>
      </c>
      <c r="L678" s="4">
        <v>16.899999999999999</v>
      </c>
      <c r="O678" t="s">
        <v>2</v>
      </c>
      <c r="P678" t="s">
        <v>816</v>
      </c>
      <c r="Q678" s="2">
        <v>0</v>
      </c>
      <c r="R678" s="5">
        <v>16.899999999999999</v>
      </c>
      <c r="S678" s="5">
        <v>0</v>
      </c>
      <c r="T678" s="2">
        <v>17</v>
      </c>
      <c r="U678" t="s">
        <v>3</v>
      </c>
      <c r="V678" t="s">
        <v>267</v>
      </c>
      <c r="W678" s="5">
        <v>28.4</v>
      </c>
    </row>
    <row r="679" spans="1:23" ht="15" x14ac:dyDescent="0.2">
      <c r="A679" t="s">
        <v>1009</v>
      </c>
      <c r="B679" s="1">
        <f>45922</f>
        <v>45922</v>
      </c>
      <c r="C679" t="s">
        <v>0</v>
      </c>
      <c r="D679">
        <v>108108</v>
      </c>
      <c r="E679" s="2">
        <v>25004729</v>
      </c>
      <c r="F679" s="2">
        <v>1</v>
      </c>
      <c r="G679" t="s">
        <v>1386</v>
      </c>
      <c r="H679" t="s">
        <v>1068</v>
      </c>
      <c r="I679" t="s">
        <v>1923</v>
      </c>
      <c r="J679" t="s">
        <v>1324</v>
      </c>
      <c r="K679" s="3">
        <v>1</v>
      </c>
      <c r="L679" s="4">
        <v>23.9</v>
      </c>
      <c r="O679" t="s">
        <v>2</v>
      </c>
      <c r="P679" t="s">
        <v>817</v>
      </c>
      <c r="Q679" s="2">
        <v>0</v>
      </c>
      <c r="R679" s="5">
        <v>23.9</v>
      </c>
      <c r="S679" s="5">
        <v>0</v>
      </c>
      <c r="T679" s="2">
        <v>24</v>
      </c>
      <c r="U679" t="s">
        <v>3</v>
      </c>
      <c r="V679" t="s">
        <v>268</v>
      </c>
      <c r="W679" s="5">
        <v>20.079999999999998</v>
      </c>
    </row>
    <row r="680" spans="1:23" ht="15" x14ac:dyDescent="0.2">
      <c r="A680" t="s">
        <v>1009</v>
      </c>
      <c r="B680" s="1">
        <f>45922</f>
        <v>45922</v>
      </c>
      <c r="C680" t="s">
        <v>0</v>
      </c>
      <c r="D680">
        <v>108108</v>
      </c>
      <c r="E680" s="2">
        <v>25004730</v>
      </c>
      <c r="F680" s="2">
        <v>1</v>
      </c>
      <c r="G680" t="s">
        <v>1590</v>
      </c>
      <c r="H680" t="s">
        <v>1268</v>
      </c>
      <c r="I680" t="s">
        <v>1924</v>
      </c>
      <c r="J680" t="s">
        <v>1323</v>
      </c>
      <c r="K680" s="3">
        <v>1</v>
      </c>
      <c r="L680" s="4">
        <v>17.899999999999999</v>
      </c>
      <c r="O680" t="s">
        <v>2</v>
      </c>
      <c r="P680" t="s">
        <v>818</v>
      </c>
      <c r="Q680" s="2">
        <v>0</v>
      </c>
      <c r="R680" s="5">
        <v>17.899999999999999</v>
      </c>
      <c r="S680" s="5">
        <v>0</v>
      </c>
      <c r="T680" s="2">
        <v>18</v>
      </c>
      <c r="U680" t="s">
        <v>3</v>
      </c>
      <c r="V680" t="s">
        <v>269</v>
      </c>
      <c r="W680" s="5">
        <v>15.04</v>
      </c>
    </row>
    <row r="681" spans="1:23" ht="15" x14ac:dyDescent="0.2">
      <c r="A681" t="s">
        <v>1009</v>
      </c>
      <c r="B681" s="1">
        <f>45922</f>
        <v>45922</v>
      </c>
      <c r="C681" t="s">
        <v>0</v>
      </c>
      <c r="D681">
        <v>108108</v>
      </c>
      <c r="E681" s="2">
        <v>25004731</v>
      </c>
      <c r="F681" s="2">
        <v>1</v>
      </c>
      <c r="G681" t="s">
        <v>1536</v>
      </c>
      <c r="H681" t="s">
        <v>1215</v>
      </c>
      <c r="I681" t="s">
        <v>1925</v>
      </c>
      <c r="J681" t="s">
        <v>1324</v>
      </c>
      <c r="K681" s="3">
        <v>1</v>
      </c>
      <c r="L681" s="4">
        <v>22.9</v>
      </c>
      <c r="O681" t="s">
        <v>2</v>
      </c>
      <c r="P681" t="s">
        <v>819</v>
      </c>
      <c r="Q681" s="2">
        <v>0</v>
      </c>
      <c r="R681" s="5">
        <v>22.9</v>
      </c>
      <c r="S681" s="5">
        <v>0</v>
      </c>
      <c r="T681" s="2">
        <v>23</v>
      </c>
      <c r="U681" t="s">
        <v>3</v>
      </c>
      <c r="V681" t="s">
        <v>270</v>
      </c>
      <c r="W681" s="5">
        <v>19.239999999999998</v>
      </c>
    </row>
    <row r="682" spans="1:23" ht="15" x14ac:dyDescent="0.2">
      <c r="A682" t="s">
        <v>1009</v>
      </c>
      <c r="B682" s="1">
        <f>45922</f>
        <v>45922</v>
      </c>
      <c r="C682" t="s">
        <v>0</v>
      </c>
      <c r="D682">
        <v>108108</v>
      </c>
      <c r="E682" s="2">
        <v>25004732</v>
      </c>
      <c r="F682" s="2">
        <v>1</v>
      </c>
      <c r="G682" t="s">
        <v>1596</v>
      </c>
      <c r="H682" t="s">
        <v>1274</v>
      </c>
      <c r="I682" t="s">
        <v>1926</v>
      </c>
      <c r="J682" t="s">
        <v>1324</v>
      </c>
      <c r="K682" s="3">
        <v>1</v>
      </c>
      <c r="L682" s="4">
        <v>29.9</v>
      </c>
      <c r="O682" t="s">
        <v>2</v>
      </c>
      <c r="P682" t="s">
        <v>820</v>
      </c>
      <c r="Q682" s="2">
        <v>0</v>
      </c>
      <c r="R682" s="5">
        <v>29.9</v>
      </c>
      <c r="S682" s="5">
        <v>0</v>
      </c>
      <c r="T682" s="2">
        <v>30</v>
      </c>
      <c r="U682" t="s">
        <v>3</v>
      </c>
      <c r="V682" t="s">
        <v>271</v>
      </c>
      <c r="W682" s="5">
        <v>25.13</v>
      </c>
    </row>
    <row r="683" spans="1:23" ht="15" x14ac:dyDescent="0.2">
      <c r="A683" t="s">
        <v>1009</v>
      </c>
      <c r="B683" s="1">
        <f>45922</f>
        <v>45922</v>
      </c>
      <c r="C683" t="s">
        <v>0</v>
      </c>
      <c r="D683">
        <v>108108</v>
      </c>
      <c r="E683" s="2">
        <v>25004733</v>
      </c>
      <c r="F683" s="2">
        <v>1</v>
      </c>
      <c r="G683" t="s">
        <v>1646</v>
      </c>
      <c r="H683" t="s">
        <v>361</v>
      </c>
      <c r="I683" t="s">
        <v>1647</v>
      </c>
      <c r="J683" t="s">
        <v>1324</v>
      </c>
      <c r="K683" s="3">
        <v>1</v>
      </c>
      <c r="L683" s="4">
        <v>-450</v>
      </c>
      <c r="Q683" s="2">
        <v>0</v>
      </c>
      <c r="R683" s="5">
        <v>-450</v>
      </c>
      <c r="S683" s="5">
        <v>0</v>
      </c>
      <c r="T683" s="2">
        <v>-450</v>
      </c>
      <c r="U683" t="s">
        <v>1</v>
      </c>
      <c r="V683" t="s">
        <v>361</v>
      </c>
      <c r="W683" s="5">
        <v>-450</v>
      </c>
    </row>
    <row r="684" spans="1:23" ht="15" x14ac:dyDescent="0.2">
      <c r="A684" t="s">
        <v>1009</v>
      </c>
      <c r="B684" s="1">
        <f>45923</f>
        <v>45923</v>
      </c>
      <c r="C684" t="s">
        <v>0</v>
      </c>
      <c r="D684">
        <v>108108</v>
      </c>
      <c r="E684" s="2">
        <v>25004734</v>
      </c>
      <c r="F684" s="2">
        <v>1</v>
      </c>
      <c r="G684" t="s">
        <v>1646</v>
      </c>
      <c r="H684" t="s">
        <v>361</v>
      </c>
      <c r="I684" t="s">
        <v>1647</v>
      </c>
      <c r="J684" t="s">
        <v>1323</v>
      </c>
      <c r="K684" s="3">
        <v>1</v>
      </c>
      <c r="L684" s="4">
        <v>450</v>
      </c>
      <c r="Q684" s="2">
        <v>0</v>
      </c>
      <c r="R684" s="5">
        <v>450</v>
      </c>
      <c r="S684" s="5">
        <v>0</v>
      </c>
      <c r="T684" s="2">
        <v>450</v>
      </c>
      <c r="U684" t="s">
        <v>1</v>
      </c>
      <c r="V684" t="s">
        <v>361</v>
      </c>
      <c r="W684" s="5">
        <v>450</v>
      </c>
    </row>
    <row r="685" spans="1:23" ht="15" x14ac:dyDescent="0.2">
      <c r="A685" t="s">
        <v>1009</v>
      </c>
      <c r="B685" s="1">
        <f>45923</f>
        <v>45923</v>
      </c>
      <c r="C685" t="s">
        <v>0</v>
      </c>
      <c r="D685">
        <v>108108</v>
      </c>
      <c r="E685" s="2">
        <v>25004735</v>
      </c>
      <c r="F685" s="2">
        <v>1</v>
      </c>
      <c r="G685" t="s">
        <v>1429</v>
      </c>
      <c r="H685" t="s">
        <v>1111</v>
      </c>
      <c r="I685" t="s">
        <v>1927</v>
      </c>
      <c r="J685" t="s">
        <v>1323</v>
      </c>
      <c r="K685" s="3">
        <v>1</v>
      </c>
      <c r="L685" s="4">
        <v>19.7</v>
      </c>
      <c r="O685" t="s">
        <v>2</v>
      </c>
      <c r="P685" t="s">
        <v>821</v>
      </c>
      <c r="Q685" s="2">
        <v>10</v>
      </c>
      <c r="R685" s="5">
        <v>21.9</v>
      </c>
      <c r="S685" s="5">
        <v>2.2000000000000002</v>
      </c>
      <c r="T685" s="2">
        <v>20</v>
      </c>
      <c r="U685" t="s">
        <v>3</v>
      </c>
      <c r="V685" t="s">
        <v>272</v>
      </c>
      <c r="W685" s="5">
        <v>30.08</v>
      </c>
    </row>
    <row r="686" spans="1:23" ht="15" x14ac:dyDescent="0.2">
      <c r="A686" t="s">
        <v>1009</v>
      </c>
      <c r="B686" s="1">
        <f>45923</f>
        <v>45923</v>
      </c>
      <c r="C686" t="s">
        <v>0</v>
      </c>
      <c r="D686">
        <v>108108</v>
      </c>
      <c r="E686" s="2">
        <v>25004735</v>
      </c>
      <c r="F686" s="2">
        <v>2</v>
      </c>
      <c r="G686" t="s">
        <v>1597</v>
      </c>
      <c r="H686" t="s">
        <v>1275</v>
      </c>
      <c r="I686" t="s">
        <v>1927</v>
      </c>
      <c r="J686" t="s">
        <v>1323</v>
      </c>
      <c r="K686" s="3">
        <v>1</v>
      </c>
      <c r="L686" s="4">
        <v>16.100000000000001</v>
      </c>
      <c r="O686" t="s">
        <v>2</v>
      </c>
      <c r="P686" t="s">
        <v>821</v>
      </c>
      <c r="Q686" s="2">
        <v>10</v>
      </c>
      <c r="R686" s="5">
        <v>17.899999999999999</v>
      </c>
      <c r="S686" s="5">
        <v>1.8</v>
      </c>
      <c r="T686" s="2">
        <v>16</v>
      </c>
      <c r="U686" t="s">
        <v>3</v>
      </c>
      <c r="V686" t="s">
        <v>272</v>
      </c>
      <c r="W686" s="5">
        <v>30.08</v>
      </c>
    </row>
    <row r="687" spans="1:23" ht="15" x14ac:dyDescent="0.2">
      <c r="A687" t="s">
        <v>1009</v>
      </c>
      <c r="B687" s="1">
        <f>45923</f>
        <v>45923</v>
      </c>
      <c r="C687" t="s">
        <v>0</v>
      </c>
      <c r="D687">
        <v>108108</v>
      </c>
      <c r="E687" s="2">
        <v>25004736</v>
      </c>
      <c r="F687" s="2">
        <v>1</v>
      </c>
      <c r="G687" t="s">
        <v>1512</v>
      </c>
      <c r="H687" t="s">
        <v>1193</v>
      </c>
      <c r="I687" t="s">
        <v>1647</v>
      </c>
      <c r="J687" t="s">
        <v>1323</v>
      </c>
      <c r="K687" s="3">
        <v>1</v>
      </c>
      <c r="L687" s="4">
        <v>34.9</v>
      </c>
      <c r="O687" t="s">
        <v>2</v>
      </c>
      <c r="P687" t="s">
        <v>822</v>
      </c>
      <c r="Q687" s="2">
        <v>0</v>
      </c>
      <c r="R687" s="5">
        <v>34.9</v>
      </c>
      <c r="S687" s="5">
        <v>0</v>
      </c>
      <c r="T687" s="2">
        <v>35</v>
      </c>
      <c r="U687" t="s">
        <v>3</v>
      </c>
      <c r="V687" t="s">
        <v>1322</v>
      </c>
      <c r="W687" s="5">
        <v>29.33</v>
      </c>
    </row>
    <row r="688" spans="1:23" ht="15" x14ac:dyDescent="0.2">
      <c r="A688" t="s">
        <v>1009</v>
      </c>
      <c r="B688" s="1">
        <f>45923</f>
        <v>45923</v>
      </c>
      <c r="C688" t="s">
        <v>0</v>
      </c>
      <c r="D688">
        <v>108108</v>
      </c>
      <c r="E688" s="2">
        <v>25004737</v>
      </c>
      <c r="F688" s="2">
        <v>1</v>
      </c>
      <c r="G688" t="s">
        <v>1501</v>
      </c>
      <c r="H688" t="s">
        <v>1182</v>
      </c>
      <c r="I688" t="s">
        <v>1890</v>
      </c>
      <c r="J688" t="s">
        <v>1323</v>
      </c>
      <c r="K688" s="3">
        <v>1</v>
      </c>
      <c r="L688" s="4">
        <v>26.9</v>
      </c>
      <c r="O688" t="s">
        <v>2</v>
      </c>
      <c r="P688" t="s">
        <v>823</v>
      </c>
      <c r="Q688" s="2">
        <v>0</v>
      </c>
      <c r="R688" s="5">
        <v>26.9</v>
      </c>
      <c r="S688" s="5">
        <v>0</v>
      </c>
      <c r="T688" s="2">
        <v>27</v>
      </c>
      <c r="U688" t="s">
        <v>3</v>
      </c>
      <c r="V688" t="s">
        <v>237</v>
      </c>
      <c r="W688" s="5">
        <v>45.22</v>
      </c>
    </row>
    <row r="689" spans="1:23" ht="15" x14ac:dyDescent="0.2">
      <c r="A689" t="s">
        <v>1009</v>
      </c>
      <c r="B689" s="1">
        <f>45923</f>
        <v>45923</v>
      </c>
      <c r="C689" t="s">
        <v>0</v>
      </c>
      <c r="D689">
        <v>108108</v>
      </c>
      <c r="E689" s="2">
        <v>25004737</v>
      </c>
      <c r="F689" s="2">
        <v>2</v>
      </c>
      <c r="G689" t="s">
        <v>1501</v>
      </c>
      <c r="H689" t="s">
        <v>1182</v>
      </c>
      <c r="I689" t="s">
        <v>1890</v>
      </c>
      <c r="J689" t="s">
        <v>1323</v>
      </c>
      <c r="K689" s="3">
        <v>1</v>
      </c>
      <c r="L689" s="4">
        <v>26.9</v>
      </c>
      <c r="O689" t="s">
        <v>2</v>
      </c>
      <c r="P689" t="s">
        <v>823</v>
      </c>
      <c r="Q689" s="2">
        <v>0</v>
      </c>
      <c r="R689" s="5">
        <v>26.9</v>
      </c>
      <c r="S689" s="5">
        <v>0</v>
      </c>
      <c r="T689" s="2">
        <v>27</v>
      </c>
      <c r="U689" t="s">
        <v>3</v>
      </c>
      <c r="V689" t="s">
        <v>237</v>
      </c>
      <c r="W689" s="5">
        <v>45.22</v>
      </c>
    </row>
    <row r="690" spans="1:23" ht="15" x14ac:dyDescent="0.2">
      <c r="A690" t="s">
        <v>1009</v>
      </c>
      <c r="B690" s="1">
        <f>45923</f>
        <v>45923</v>
      </c>
      <c r="C690" t="s">
        <v>0</v>
      </c>
      <c r="D690">
        <v>108108</v>
      </c>
      <c r="E690" s="2">
        <v>25004738</v>
      </c>
      <c r="F690" s="2">
        <v>1</v>
      </c>
      <c r="G690" t="s">
        <v>1598</v>
      </c>
      <c r="H690" t="s">
        <v>1276</v>
      </c>
      <c r="I690" t="s">
        <v>1928</v>
      </c>
      <c r="J690" t="s">
        <v>1323</v>
      </c>
      <c r="K690" s="3">
        <v>1</v>
      </c>
      <c r="L690" s="4">
        <v>24.9</v>
      </c>
      <c r="O690" t="s">
        <v>2</v>
      </c>
      <c r="P690" t="s">
        <v>824</v>
      </c>
      <c r="Q690" s="2">
        <v>0</v>
      </c>
      <c r="R690" s="5">
        <v>24.9</v>
      </c>
      <c r="S690" s="5">
        <v>0</v>
      </c>
      <c r="T690" s="2">
        <v>25</v>
      </c>
      <c r="U690" t="s">
        <v>3</v>
      </c>
      <c r="V690" t="s">
        <v>273</v>
      </c>
      <c r="W690" s="5">
        <v>167.39</v>
      </c>
    </row>
    <row r="691" spans="1:23" ht="15" x14ac:dyDescent="0.2">
      <c r="A691" t="s">
        <v>1009</v>
      </c>
      <c r="B691" s="1">
        <f>45923</f>
        <v>45923</v>
      </c>
      <c r="C691" t="s">
        <v>0</v>
      </c>
      <c r="D691">
        <v>108108</v>
      </c>
      <c r="E691" s="2">
        <v>25004738</v>
      </c>
      <c r="F691" s="2">
        <v>2</v>
      </c>
      <c r="G691" t="s">
        <v>1519</v>
      </c>
      <c r="H691" t="s">
        <v>1199</v>
      </c>
      <c r="I691" t="s">
        <v>1928</v>
      </c>
      <c r="J691" t="s">
        <v>1323</v>
      </c>
      <c r="K691" s="3">
        <v>1</v>
      </c>
      <c r="L691" s="4">
        <v>174.3</v>
      </c>
      <c r="O691" t="s">
        <v>2</v>
      </c>
      <c r="P691" t="s">
        <v>824</v>
      </c>
      <c r="Q691" s="2">
        <v>30</v>
      </c>
      <c r="R691" s="5">
        <v>249</v>
      </c>
      <c r="S691" s="5">
        <v>74.7</v>
      </c>
      <c r="T691" s="2">
        <v>174</v>
      </c>
      <c r="U691" t="s">
        <v>3</v>
      </c>
      <c r="V691" t="s">
        <v>273</v>
      </c>
      <c r="W691" s="5">
        <v>167.39</v>
      </c>
    </row>
    <row r="692" spans="1:23" ht="15" x14ac:dyDescent="0.2">
      <c r="A692" t="s">
        <v>1009</v>
      </c>
      <c r="B692" s="1">
        <f>45923</f>
        <v>45923</v>
      </c>
      <c r="C692" t="s">
        <v>0</v>
      </c>
      <c r="D692">
        <v>108108</v>
      </c>
      <c r="E692" s="2">
        <v>25004739</v>
      </c>
      <c r="F692" s="2">
        <v>1</v>
      </c>
      <c r="G692" t="s">
        <v>1599</v>
      </c>
      <c r="H692" t="s">
        <v>1277</v>
      </c>
      <c r="I692" t="s">
        <v>1929</v>
      </c>
      <c r="J692" t="s">
        <v>1323</v>
      </c>
      <c r="K692" s="3">
        <v>1</v>
      </c>
      <c r="L692" s="4">
        <v>18.899999999999999</v>
      </c>
      <c r="O692" t="s">
        <v>2</v>
      </c>
      <c r="P692" t="s">
        <v>825</v>
      </c>
      <c r="Q692" s="2">
        <v>0</v>
      </c>
      <c r="R692" s="5">
        <v>18.899999999999999</v>
      </c>
      <c r="S692" s="5">
        <v>0</v>
      </c>
      <c r="T692" s="2">
        <v>19</v>
      </c>
      <c r="U692" t="s">
        <v>3</v>
      </c>
      <c r="V692" t="s">
        <v>274</v>
      </c>
      <c r="W692" s="5">
        <v>54.36</v>
      </c>
    </row>
    <row r="693" spans="1:23" ht="15" x14ac:dyDescent="0.2">
      <c r="A693" t="s">
        <v>1009</v>
      </c>
      <c r="B693" s="1">
        <f>45923</f>
        <v>45923</v>
      </c>
      <c r="C693" t="s">
        <v>0</v>
      </c>
      <c r="D693">
        <v>108108</v>
      </c>
      <c r="E693" s="2">
        <v>25004739</v>
      </c>
      <c r="F693" s="2">
        <v>2</v>
      </c>
      <c r="G693" t="s">
        <v>1600</v>
      </c>
      <c r="H693" t="s">
        <v>1278</v>
      </c>
      <c r="I693" t="s">
        <v>1929</v>
      </c>
      <c r="J693" t="s">
        <v>1323</v>
      </c>
      <c r="K693" s="3">
        <v>1</v>
      </c>
      <c r="L693" s="4">
        <v>17.899999999999999</v>
      </c>
      <c r="O693" t="s">
        <v>2</v>
      </c>
      <c r="P693" t="s">
        <v>825</v>
      </c>
      <c r="Q693" s="2">
        <v>0</v>
      </c>
      <c r="R693" s="5">
        <v>17.899999999999999</v>
      </c>
      <c r="S693" s="5">
        <v>0</v>
      </c>
      <c r="T693" s="2">
        <v>18</v>
      </c>
      <c r="U693" t="s">
        <v>3</v>
      </c>
      <c r="V693" t="s">
        <v>274</v>
      </c>
      <c r="W693" s="5">
        <v>54.36</v>
      </c>
    </row>
    <row r="694" spans="1:23" ht="15" x14ac:dyDescent="0.2">
      <c r="A694" t="s">
        <v>1009</v>
      </c>
      <c r="B694" s="1">
        <f>45923</f>
        <v>45923</v>
      </c>
      <c r="C694" t="s">
        <v>0</v>
      </c>
      <c r="D694">
        <v>108108</v>
      </c>
      <c r="E694" s="2">
        <v>25004739</v>
      </c>
      <c r="F694" s="2">
        <v>3</v>
      </c>
      <c r="G694" t="s">
        <v>1601</v>
      </c>
      <c r="H694" t="s">
        <v>1279</v>
      </c>
      <c r="I694" t="s">
        <v>1929</v>
      </c>
      <c r="J694" t="s">
        <v>1323</v>
      </c>
      <c r="K694" s="3">
        <v>1</v>
      </c>
      <c r="L694" s="4">
        <v>6</v>
      </c>
      <c r="O694" t="s">
        <v>2</v>
      </c>
      <c r="P694" t="s">
        <v>825</v>
      </c>
      <c r="Q694" s="2">
        <v>0</v>
      </c>
      <c r="R694" s="5">
        <v>6</v>
      </c>
      <c r="S694" s="5">
        <v>0</v>
      </c>
      <c r="T694" s="2">
        <v>6</v>
      </c>
      <c r="U694" t="s">
        <v>3</v>
      </c>
      <c r="V694" t="s">
        <v>274</v>
      </c>
      <c r="W694" s="5">
        <v>54.36</v>
      </c>
    </row>
    <row r="695" spans="1:23" ht="15" x14ac:dyDescent="0.2">
      <c r="A695" t="s">
        <v>1009</v>
      </c>
      <c r="B695" s="1">
        <f>45923</f>
        <v>45923</v>
      </c>
      <c r="C695" t="s">
        <v>0</v>
      </c>
      <c r="D695">
        <v>108108</v>
      </c>
      <c r="E695" s="2">
        <v>25004739</v>
      </c>
      <c r="F695" s="2">
        <v>4</v>
      </c>
      <c r="G695" t="s">
        <v>1448</v>
      </c>
      <c r="H695" t="s">
        <v>1130</v>
      </c>
      <c r="I695" t="s">
        <v>1929</v>
      </c>
      <c r="J695" t="s">
        <v>1323</v>
      </c>
      <c r="K695" s="3">
        <v>1</v>
      </c>
      <c r="L695" s="4">
        <v>12</v>
      </c>
      <c r="O695" t="s">
        <v>2</v>
      </c>
      <c r="P695" t="s">
        <v>825</v>
      </c>
      <c r="Q695" s="2">
        <v>0</v>
      </c>
      <c r="R695" s="5">
        <v>12</v>
      </c>
      <c r="S695" s="5">
        <v>0</v>
      </c>
      <c r="T695" s="2">
        <v>12</v>
      </c>
      <c r="U695" t="s">
        <v>3</v>
      </c>
      <c r="V695" t="s">
        <v>274</v>
      </c>
      <c r="W695" s="5">
        <v>54.36</v>
      </c>
    </row>
    <row r="696" spans="1:23" ht="15" x14ac:dyDescent="0.2">
      <c r="A696" t="s">
        <v>1009</v>
      </c>
      <c r="B696" s="1">
        <f>45923</f>
        <v>45923</v>
      </c>
      <c r="C696" t="s">
        <v>0</v>
      </c>
      <c r="D696">
        <v>108108</v>
      </c>
      <c r="E696" s="2">
        <v>25004739</v>
      </c>
      <c r="F696" s="2">
        <v>5</v>
      </c>
      <c r="G696" t="s">
        <v>1369</v>
      </c>
      <c r="H696" t="s">
        <v>1051</v>
      </c>
      <c r="I696" t="s">
        <v>1929</v>
      </c>
      <c r="J696" t="s">
        <v>1323</v>
      </c>
      <c r="K696" s="3">
        <v>1</v>
      </c>
      <c r="L696" s="4">
        <v>9.9</v>
      </c>
      <c r="O696" t="s">
        <v>2</v>
      </c>
      <c r="P696" t="s">
        <v>825</v>
      </c>
      <c r="Q696" s="2">
        <v>0</v>
      </c>
      <c r="R696" s="5">
        <v>9.9</v>
      </c>
      <c r="S696" s="5">
        <v>0</v>
      </c>
      <c r="T696" s="2">
        <v>10</v>
      </c>
      <c r="U696" t="s">
        <v>3</v>
      </c>
      <c r="V696" t="s">
        <v>274</v>
      </c>
      <c r="W696" s="5">
        <v>54.36</v>
      </c>
    </row>
    <row r="697" spans="1:23" ht="15" x14ac:dyDescent="0.2">
      <c r="A697" t="s">
        <v>1009</v>
      </c>
      <c r="B697" s="1">
        <f>45923</f>
        <v>45923</v>
      </c>
      <c r="C697" t="s">
        <v>0</v>
      </c>
      <c r="D697">
        <v>108108</v>
      </c>
      <c r="E697" s="2">
        <v>25004740</v>
      </c>
      <c r="F697" s="2">
        <v>1</v>
      </c>
      <c r="G697" t="s">
        <v>1602</v>
      </c>
      <c r="H697" t="s">
        <v>1280</v>
      </c>
      <c r="I697" t="s">
        <v>1851</v>
      </c>
      <c r="J697" t="s">
        <v>1323</v>
      </c>
      <c r="K697" s="3">
        <v>1</v>
      </c>
      <c r="L697" s="4">
        <v>17.899999999999999</v>
      </c>
      <c r="O697" t="s">
        <v>2</v>
      </c>
      <c r="P697" t="s">
        <v>826</v>
      </c>
      <c r="Q697" s="2">
        <v>0</v>
      </c>
      <c r="R697" s="5">
        <v>17.899999999999999</v>
      </c>
      <c r="S697" s="5">
        <v>0</v>
      </c>
      <c r="T697" s="2">
        <v>18</v>
      </c>
      <c r="U697" t="s">
        <v>3</v>
      </c>
      <c r="V697" t="s">
        <v>201</v>
      </c>
      <c r="W697" s="5">
        <v>41.84</v>
      </c>
    </row>
    <row r="698" spans="1:23" ht="15" x14ac:dyDescent="0.2">
      <c r="A698" t="s">
        <v>1009</v>
      </c>
      <c r="B698" s="1">
        <f>45923</f>
        <v>45923</v>
      </c>
      <c r="C698" t="s">
        <v>0</v>
      </c>
      <c r="D698">
        <v>108108</v>
      </c>
      <c r="E698" s="2">
        <v>25004740</v>
      </c>
      <c r="F698" s="2">
        <v>2</v>
      </c>
      <c r="G698" t="s">
        <v>1554</v>
      </c>
      <c r="H698" t="s">
        <v>1233</v>
      </c>
      <c r="I698" t="s">
        <v>1851</v>
      </c>
      <c r="J698" t="s">
        <v>1323</v>
      </c>
      <c r="K698" s="3">
        <v>1</v>
      </c>
      <c r="L698" s="4">
        <v>21.9</v>
      </c>
      <c r="O698" t="s">
        <v>2</v>
      </c>
      <c r="P698" t="s">
        <v>826</v>
      </c>
      <c r="Q698" s="2">
        <v>0</v>
      </c>
      <c r="R698" s="5">
        <v>21.9</v>
      </c>
      <c r="S698" s="5">
        <v>0</v>
      </c>
      <c r="T698" s="2">
        <v>22</v>
      </c>
      <c r="U698" t="s">
        <v>3</v>
      </c>
      <c r="V698" t="s">
        <v>201</v>
      </c>
      <c r="W698" s="5">
        <v>41.84</v>
      </c>
    </row>
    <row r="699" spans="1:23" ht="15" x14ac:dyDescent="0.2">
      <c r="A699" t="s">
        <v>1009</v>
      </c>
      <c r="B699" s="1">
        <f>45923</f>
        <v>45923</v>
      </c>
      <c r="C699" t="s">
        <v>0</v>
      </c>
      <c r="D699">
        <v>108108</v>
      </c>
      <c r="E699" s="2">
        <v>25004740</v>
      </c>
      <c r="F699" s="2">
        <v>3</v>
      </c>
      <c r="G699" t="s">
        <v>1332</v>
      </c>
      <c r="H699" t="s">
        <v>362</v>
      </c>
      <c r="I699" t="s">
        <v>1851</v>
      </c>
      <c r="J699" t="s">
        <v>1323</v>
      </c>
      <c r="K699" s="3">
        <v>1</v>
      </c>
      <c r="L699" s="4">
        <v>5</v>
      </c>
      <c r="O699" t="s">
        <v>2</v>
      </c>
      <c r="P699" t="s">
        <v>826</v>
      </c>
      <c r="Q699" s="2">
        <v>0</v>
      </c>
      <c r="R699" s="5">
        <v>5</v>
      </c>
      <c r="S699" s="5">
        <v>0</v>
      </c>
      <c r="T699" s="2">
        <v>5</v>
      </c>
      <c r="U699" t="s">
        <v>3</v>
      </c>
      <c r="V699" t="s">
        <v>201</v>
      </c>
      <c r="W699" s="5">
        <v>41.84</v>
      </c>
    </row>
    <row r="700" spans="1:23" ht="15" x14ac:dyDescent="0.2">
      <c r="A700" t="s">
        <v>1009</v>
      </c>
      <c r="B700" s="1">
        <f>45923</f>
        <v>45923</v>
      </c>
      <c r="C700" t="s">
        <v>0</v>
      </c>
      <c r="D700">
        <v>108108</v>
      </c>
      <c r="E700" s="2">
        <v>25004740</v>
      </c>
      <c r="F700" s="2">
        <v>4</v>
      </c>
      <c r="G700" t="s">
        <v>1332</v>
      </c>
      <c r="H700" t="s">
        <v>362</v>
      </c>
      <c r="I700" t="s">
        <v>1851</v>
      </c>
      <c r="J700" t="s">
        <v>1323</v>
      </c>
      <c r="K700" s="3">
        <v>1</v>
      </c>
      <c r="L700" s="4">
        <v>5</v>
      </c>
      <c r="O700" t="s">
        <v>2</v>
      </c>
      <c r="P700" t="s">
        <v>826</v>
      </c>
      <c r="Q700" s="2">
        <v>0</v>
      </c>
      <c r="R700" s="5">
        <v>5</v>
      </c>
      <c r="S700" s="5">
        <v>0</v>
      </c>
      <c r="T700" s="2">
        <v>5</v>
      </c>
      <c r="U700" t="s">
        <v>3</v>
      </c>
      <c r="V700" t="s">
        <v>201</v>
      </c>
      <c r="W700" s="5">
        <v>41.84</v>
      </c>
    </row>
    <row r="701" spans="1:23" ht="15" x14ac:dyDescent="0.2">
      <c r="A701" t="s">
        <v>1009</v>
      </c>
      <c r="B701" s="1">
        <f>45923</f>
        <v>45923</v>
      </c>
      <c r="C701" t="s">
        <v>0</v>
      </c>
      <c r="D701">
        <v>108108</v>
      </c>
      <c r="E701" s="2">
        <v>25004741</v>
      </c>
      <c r="F701" s="2">
        <v>1</v>
      </c>
      <c r="G701" t="s">
        <v>1346</v>
      </c>
      <c r="H701" t="s">
        <v>1028</v>
      </c>
      <c r="I701" t="s">
        <v>1930</v>
      </c>
      <c r="J701" t="s">
        <v>1323</v>
      </c>
      <c r="K701" s="3">
        <v>1</v>
      </c>
      <c r="L701" s="4">
        <v>22.9</v>
      </c>
      <c r="O701" t="s">
        <v>2</v>
      </c>
      <c r="P701" t="s">
        <v>827</v>
      </c>
      <c r="Q701" s="2">
        <v>0</v>
      </c>
      <c r="R701" s="5">
        <v>22.9</v>
      </c>
      <c r="S701" s="5">
        <v>0</v>
      </c>
      <c r="T701" s="2">
        <v>23</v>
      </c>
      <c r="U701" t="s">
        <v>3</v>
      </c>
      <c r="V701" t="s">
        <v>275</v>
      </c>
      <c r="W701" s="5">
        <v>19.239999999999998</v>
      </c>
    </row>
    <row r="702" spans="1:23" ht="15" x14ac:dyDescent="0.2">
      <c r="A702" t="s">
        <v>1009</v>
      </c>
      <c r="B702" s="1">
        <f>45923</f>
        <v>45923</v>
      </c>
      <c r="C702" t="s">
        <v>0</v>
      </c>
      <c r="D702">
        <v>108108</v>
      </c>
      <c r="E702" s="2">
        <v>25004742</v>
      </c>
      <c r="F702" s="2">
        <v>1</v>
      </c>
      <c r="G702" t="s">
        <v>1560</v>
      </c>
      <c r="H702" t="s">
        <v>1239</v>
      </c>
      <c r="I702" t="s">
        <v>1930</v>
      </c>
      <c r="J702" t="s">
        <v>1323</v>
      </c>
      <c r="K702" s="3">
        <v>1</v>
      </c>
      <c r="L702" s="4">
        <v>30.9</v>
      </c>
      <c r="O702" t="s">
        <v>2</v>
      </c>
      <c r="P702" t="s">
        <v>828</v>
      </c>
      <c r="Q702" s="2">
        <v>0</v>
      </c>
      <c r="R702" s="5">
        <v>30.9</v>
      </c>
      <c r="S702" s="5">
        <v>0</v>
      </c>
      <c r="T702" s="2">
        <v>31</v>
      </c>
      <c r="U702" t="s">
        <v>3</v>
      </c>
      <c r="V702" t="s">
        <v>275</v>
      </c>
      <c r="W702" s="5">
        <v>25.97</v>
      </c>
    </row>
    <row r="703" spans="1:23" ht="15" x14ac:dyDescent="0.2">
      <c r="A703" t="s">
        <v>1009</v>
      </c>
      <c r="B703" s="1">
        <f>45923</f>
        <v>45923</v>
      </c>
      <c r="C703" t="s">
        <v>0</v>
      </c>
      <c r="D703">
        <v>108108</v>
      </c>
      <c r="E703" s="2">
        <v>25004743</v>
      </c>
      <c r="F703" s="2">
        <v>1</v>
      </c>
      <c r="G703" t="s">
        <v>1532</v>
      </c>
      <c r="H703" t="s">
        <v>1212</v>
      </c>
      <c r="I703" t="s">
        <v>1931</v>
      </c>
      <c r="J703" t="s">
        <v>1323</v>
      </c>
      <c r="K703" s="3">
        <v>1</v>
      </c>
      <c r="L703" s="4">
        <v>29.9</v>
      </c>
      <c r="O703" t="s">
        <v>2</v>
      </c>
      <c r="P703" t="s">
        <v>829</v>
      </c>
      <c r="Q703" s="2">
        <v>0</v>
      </c>
      <c r="R703" s="5">
        <v>29.9</v>
      </c>
      <c r="S703" s="5">
        <v>0</v>
      </c>
      <c r="T703" s="2">
        <v>30</v>
      </c>
      <c r="U703" t="s">
        <v>3</v>
      </c>
      <c r="V703" t="s">
        <v>276</v>
      </c>
      <c r="W703" s="5">
        <v>25.13</v>
      </c>
    </row>
    <row r="704" spans="1:23" ht="15" x14ac:dyDescent="0.2">
      <c r="A704" t="s">
        <v>1009</v>
      </c>
      <c r="B704" s="1">
        <f>45923</f>
        <v>45923</v>
      </c>
      <c r="C704" t="s">
        <v>0</v>
      </c>
      <c r="D704">
        <v>108108</v>
      </c>
      <c r="E704" s="2">
        <v>25004744</v>
      </c>
      <c r="F704" s="2">
        <v>1</v>
      </c>
      <c r="G704" t="s">
        <v>1404</v>
      </c>
      <c r="H704" t="s">
        <v>1086</v>
      </c>
      <c r="I704" t="s">
        <v>1647</v>
      </c>
      <c r="J704" t="s">
        <v>1323</v>
      </c>
      <c r="K704" s="3">
        <v>1</v>
      </c>
      <c r="L704" s="4">
        <v>7.45</v>
      </c>
      <c r="O704" t="s">
        <v>2</v>
      </c>
      <c r="P704" t="s">
        <v>830</v>
      </c>
      <c r="Q704" s="2">
        <v>0</v>
      </c>
      <c r="R704" s="5">
        <v>7.45</v>
      </c>
      <c r="S704" s="5">
        <v>0</v>
      </c>
      <c r="T704" s="2">
        <v>7</v>
      </c>
      <c r="U704" t="s">
        <v>3</v>
      </c>
      <c r="V704" t="s">
        <v>1322</v>
      </c>
      <c r="W704" s="5">
        <v>6.26</v>
      </c>
    </row>
    <row r="705" spans="1:23" ht="15" x14ac:dyDescent="0.2">
      <c r="A705" t="s">
        <v>1009</v>
      </c>
      <c r="B705" s="1">
        <f>45923</f>
        <v>45923</v>
      </c>
      <c r="C705" t="s">
        <v>0</v>
      </c>
      <c r="D705">
        <v>108108</v>
      </c>
      <c r="E705" s="2">
        <v>25004745</v>
      </c>
      <c r="F705" s="2">
        <v>1</v>
      </c>
      <c r="G705" t="s">
        <v>1351</v>
      </c>
      <c r="H705" t="s">
        <v>1033</v>
      </c>
      <c r="I705" t="s">
        <v>1764</v>
      </c>
      <c r="J705" t="s">
        <v>1323</v>
      </c>
      <c r="K705" s="3">
        <v>1</v>
      </c>
      <c r="L705" s="4">
        <v>19.7</v>
      </c>
      <c r="O705" t="s">
        <v>2</v>
      </c>
      <c r="P705" t="s">
        <v>831</v>
      </c>
      <c r="Q705" s="2">
        <v>10</v>
      </c>
      <c r="R705" s="5">
        <v>21.9</v>
      </c>
      <c r="S705" s="5">
        <v>2.2000000000000002</v>
      </c>
      <c r="T705" s="2">
        <v>20</v>
      </c>
      <c r="U705" t="s">
        <v>3</v>
      </c>
      <c r="V705" t="s">
        <v>118</v>
      </c>
      <c r="W705" s="5">
        <v>54.19</v>
      </c>
    </row>
    <row r="706" spans="1:23" ht="15" x14ac:dyDescent="0.2">
      <c r="A706" t="s">
        <v>1009</v>
      </c>
      <c r="B706" s="1">
        <f>45923</f>
        <v>45923</v>
      </c>
      <c r="C706" t="s">
        <v>0</v>
      </c>
      <c r="D706">
        <v>108108</v>
      </c>
      <c r="E706" s="2">
        <v>25004745</v>
      </c>
      <c r="F706" s="2">
        <v>2</v>
      </c>
      <c r="G706" t="s">
        <v>1351</v>
      </c>
      <c r="H706" t="s">
        <v>1033</v>
      </c>
      <c r="I706" t="s">
        <v>1764</v>
      </c>
      <c r="J706" t="s">
        <v>1323</v>
      </c>
      <c r="K706" s="3">
        <v>1</v>
      </c>
      <c r="L706" s="4">
        <v>19.7</v>
      </c>
      <c r="O706" t="s">
        <v>2</v>
      </c>
      <c r="P706" t="s">
        <v>831</v>
      </c>
      <c r="Q706" s="2">
        <v>10</v>
      </c>
      <c r="R706" s="5">
        <v>21.9</v>
      </c>
      <c r="S706" s="5">
        <v>2.2000000000000002</v>
      </c>
      <c r="T706" s="2">
        <v>20</v>
      </c>
      <c r="U706" t="s">
        <v>3</v>
      </c>
      <c r="V706" t="s">
        <v>118</v>
      </c>
      <c r="W706" s="5">
        <v>54.19</v>
      </c>
    </row>
    <row r="707" spans="1:23" ht="15" x14ac:dyDescent="0.2">
      <c r="A707" t="s">
        <v>1009</v>
      </c>
      <c r="B707" s="1">
        <f>45923</f>
        <v>45923</v>
      </c>
      <c r="C707" t="s">
        <v>0</v>
      </c>
      <c r="D707">
        <v>108108</v>
      </c>
      <c r="E707" s="2">
        <v>25004745</v>
      </c>
      <c r="F707" s="2">
        <v>3</v>
      </c>
      <c r="G707" t="s">
        <v>1531</v>
      </c>
      <c r="H707" t="s">
        <v>1211</v>
      </c>
      <c r="I707" t="s">
        <v>1764</v>
      </c>
      <c r="J707" t="s">
        <v>1323</v>
      </c>
      <c r="K707" s="3">
        <v>1</v>
      </c>
      <c r="L707" s="4">
        <v>25.1</v>
      </c>
      <c r="O707" t="s">
        <v>2</v>
      </c>
      <c r="P707" t="s">
        <v>831</v>
      </c>
      <c r="Q707" s="2">
        <v>10</v>
      </c>
      <c r="R707" s="5">
        <v>27.9</v>
      </c>
      <c r="S707" s="5">
        <v>2.8</v>
      </c>
      <c r="T707" s="2">
        <v>25</v>
      </c>
      <c r="U707" t="s">
        <v>3</v>
      </c>
      <c r="V707" t="s">
        <v>118</v>
      </c>
      <c r="W707" s="5">
        <v>54.19</v>
      </c>
    </row>
    <row r="708" spans="1:23" ht="15" x14ac:dyDescent="0.2">
      <c r="A708" t="s">
        <v>1009</v>
      </c>
      <c r="B708" s="1">
        <f>45923</f>
        <v>45923</v>
      </c>
      <c r="C708" t="s">
        <v>0</v>
      </c>
      <c r="D708">
        <v>108108</v>
      </c>
      <c r="E708" s="2">
        <v>25004746</v>
      </c>
      <c r="F708" s="2">
        <v>1</v>
      </c>
      <c r="G708" t="s">
        <v>1360</v>
      </c>
      <c r="H708" t="s">
        <v>1042</v>
      </c>
      <c r="I708" t="s">
        <v>1932</v>
      </c>
      <c r="J708" t="s">
        <v>1323</v>
      </c>
      <c r="K708" s="3">
        <v>1</v>
      </c>
      <c r="L708" s="4">
        <v>22.9</v>
      </c>
      <c r="O708" t="s">
        <v>2</v>
      </c>
      <c r="P708" t="s">
        <v>832</v>
      </c>
      <c r="Q708" s="2">
        <v>0</v>
      </c>
      <c r="R708" s="5">
        <v>22.9</v>
      </c>
      <c r="S708" s="5">
        <v>0</v>
      </c>
      <c r="T708" s="2">
        <v>23</v>
      </c>
      <c r="U708" t="s">
        <v>3</v>
      </c>
      <c r="V708" t="s">
        <v>277</v>
      </c>
      <c r="W708" s="5">
        <v>19.239999999999998</v>
      </c>
    </row>
    <row r="709" spans="1:23" ht="15" x14ac:dyDescent="0.2">
      <c r="A709" t="s">
        <v>1009</v>
      </c>
      <c r="B709" s="1">
        <f>45923</f>
        <v>45923</v>
      </c>
      <c r="C709" t="s">
        <v>0</v>
      </c>
      <c r="D709">
        <v>108108</v>
      </c>
      <c r="E709" s="2">
        <v>25004747</v>
      </c>
      <c r="F709" s="2">
        <v>1</v>
      </c>
      <c r="G709" t="s">
        <v>1536</v>
      </c>
      <c r="H709" t="s">
        <v>1215</v>
      </c>
      <c r="I709" t="s">
        <v>1933</v>
      </c>
      <c r="J709" t="s">
        <v>1323</v>
      </c>
      <c r="K709" s="3">
        <v>1</v>
      </c>
      <c r="L709" s="4">
        <v>22.9</v>
      </c>
      <c r="O709" t="s">
        <v>2</v>
      </c>
      <c r="P709" t="s">
        <v>833</v>
      </c>
      <c r="Q709" s="2">
        <v>0</v>
      </c>
      <c r="R709" s="5">
        <v>22.9</v>
      </c>
      <c r="S709" s="5">
        <v>0</v>
      </c>
      <c r="T709" s="2">
        <v>23</v>
      </c>
      <c r="U709" t="s">
        <v>3</v>
      </c>
      <c r="V709" t="s">
        <v>278</v>
      </c>
      <c r="W709" s="5">
        <v>19.239999999999998</v>
      </c>
    </row>
    <row r="710" spans="1:23" ht="15" x14ac:dyDescent="0.2">
      <c r="A710" t="s">
        <v>1009</v>
      </c>
      <c r="B710" s="1">
        <f>45923</f>
        <v>45923</v>
      </c>
      <c r="C710" t="s">
        <v>0</v>
      </c>
      <c r="D710">
        <v>108108</v>
      </c>
      <c r="E710" s="2">
        <v>25004748</v>
      </c>
      <c r="F710" s="2">
        <v>1</v>
      </c>
      <c r="G710" t="s">
        <v>1603</v>
      </c>
      <c r="H710" t="s">
        <v>1281</v>
      </c>
      <c r="I710" t="s">
        <v>1923</v>
      </c>
      <c r="J710" t="s">
        <v>1323</v>
      </c>
      <c r="K710" s="3">
        <v>1</v>
      </c>
      <c r="L710" s="4">
        <v>22.9</v>
      </c>
      <c r="O710" t="s">
        <v>2</v>
      </c>
      <c r="P710" t="s">
        <v>834</v>
      </c>
      <c r="Q710" s="2">
        <v>0</v>
      </c>
      <c r="R710" s="5">
        <v>22.9</v>
      </c>
      <c r="S710" s="5">
        <v>0</v>
      </c>
      <c r="T710" s="2">
        <v>23</v>
      </c>
      <c r="U710" t="s">
        <v>3</v>
      </c>
      <c r="V710" t="s">
        <v>268</v>
      </c>
      <c r="W710" s="5">
        <v>19.239999999999998</v>
      </c>
    </row>
    <row r="711" spans="1:23" ht="15" x14ac:dyDescent="0.2">
      <c r="A711" t="s">
        <v>1009</v>
      </c>
      <c r="B711" s="1">
        <f>45923</f>
        <v>45923</v>
      </c>
      <c r="C711" t="s">
        <v>0</v>
      </c>
      <c r="D711">
        <v>108108</v>
      </c>
      <c r="E711" s="2">
        <v>25004749</v>
      </c>
      <c r="F711" s="2">
        <v>1</v>
      </c>
      <c r="G711" t="s">
        <v>1346</v>
      </c>
      <c r="H711" t="s">
        <v>1028</v>
      </c>
      <c r="I711" t="s">
        <v>1882</v>
      </c>
      <c r="J711" t="s">
        <v>1324</v>
      </c>
      <c r="K711" s="3">
        <v>1</v>
      </c>
      <c r="L711" s="4">
        <v>22.9</v>
      </c>
      <c r="O711" t="s">
        <v>2</v>
      </c>
      <c r="P711" t="s">
        <v>835</v>
      </c>
      <c r="Q711" s="2">
        <v>0</v>
      </c>
      <c r="R711" s="5">
        <v>22.9</v>
      </c>
      <c r="S711" s="5">
        <v>0</v>
      </c>
      <c r="T711" s="2">
        <v>23</v>
      </c>
      <c r="U711" t="s">
        <v>3</v>
      </c>
      <c r="V711" t="s">
        <v>230</v>
      </c>
      <c r="W711" s="5">
        <v>19.239999999999998</v>
      </c>
    </row>
    <row r="712" spans="1:23" ht="15" x14ac:dyDescent="0.2">
      <c r="A712" t="s">
        <v>1009</v>
      </c>
      <c r="B712" s="1">
        <f>45923</f>
        <v>45923</v>
      </c>
      <c r="C712" t="s">
        <v>0</v>
      </c>
      <c r="D712">
        <v>108108</v>
      </c>
      <c r="E712" s="2">
        <v>25004750</v>
      </c>
      <c r="F712" s="2">
        <v>1</v>
      </c>
      <c r="G712" t="s">
        <v>1351</v>
      </c>
      <c r="H712" t="s">
        <v>1033</v>
      </c>
      <c r="I712" t="s">
        <v>1924</v>
      </c>
      <c r="J712" t="s">
        <v>1324</v>
      </c>
      <c r="K712" s="3">
        <v>1</v>
      </c>
      <c r="L712" s="4">
        <v>21.9</v>
      </c>
      <c r="O712" t="s">
        <v>2</v>
      </c>
      <c r="P712" t="s">
        <v>836</v>
      </c>
      <c r="Q712" s="2">
        <v>0</v>
      </c>
      <c r="R712" s="5">
        <v>21.9</v>
      </c>
      <c r="S712" s="5">
        <v>0</v>
      </c>
      <c r="T712" s="2">
        <v>22</v>
      </c>
      <c r="U712" t="s">
        <v>3</v>
      </c>
      <c r="V712" t="s">
        <v>269</v>
      </c>
      <c r="W712" s="5">
        <v>22.6</v>
      </c>
    </row>
    <row r="713" spans="1:23" ht="15" x14ac:dyDescent="0.2">
      <c r="A713" t="s">
        <v>1009</v>
      </c>
      <c r="B713" s="1">
        <f>45923</f>
        <v>45923</v>
      </c>
      <c r="C713" t="s">
        <v>0</v>
      </c>
      <c r="D713">
        <v>108108</v>
      </c>
      <c r="E713" s="2">
        <v>25004750</v>
      </c>
      <c r="F713" s="2">
        <v>2</v>
      </c>
      <c r="G713" t="s">
        <v>1332</v>
      </c>
      <c r="H713" t="s">
        <v>362</v>
      </c>
      <c r="I713" t="s">
        <v>1924</v>
      </c>
      <c r="J713" t="s">
        <v>1324</v>
      </c>
      <c r="K713" s="3">
        <v>1</v>
      </c>
      <c r="L713" s="4">
        <v>5</v>
      </c>
      <c r="O713" t="s">
        <v>2</v>
      </c>
      <c r="P713" t="s">
        <v>836</v>
      </c>
      <c r="Q713" s="2">
        <v>0</v>
      </c>
      <c r="R713" s="5">
        <v>5</v>
      </c>
      <c r="S713" s="5">
        <v>0</v>
      </c>
      <c r="T713" s="2">
        <v>5</v>
      </c>
      <c r="U713" t="s">
        <v>3</v>
      </c>
      <c r="V713" t="s">
        <v>269</v>
      </c>
      <c r="W713" s="5">
        <v>22.6</v>
      </c>
    </row>
    <row r="714" spans="1:23" ht="15" x14ac:dyDescent="0.2">
      <c r="A714" t="s">
        <v>1009</v>
      </c>
      <c r="B714" s="1">
        <f>45923</f>
        <v>45923</v>
      </c>
      <c r="C714" t="s">
        <v>0</v>
      </c>
      <c r="D714">
        <v>108108</v>
      </c>
      <c r="E714" s="2">
        <v>25004751</v>
      </c>
      <c r="F714" s="2">
        <v>1</v>
      </c>
      <c r="G714" t="s">
        <v>1604</v>
      </c>
      <c r="H714" t="s">
        <v>1282</v>
      </c>
      <c r="I714" t="s">
        <v>1647</v>
      </c>
      <c r="J714" t="s">
        <v>1324</v>
      </c>
      <c r="K714" s="3">
        <v>1</v>
      </c>
      <c r="L714" s="4">
        <v>40</v>
      </c>
      <c r="O714" t="s">
        <v>2</v>
      </c>
      <c r="P714" t="s">
        <v>837</v>
      </c>
      <c r="Q714" s="2">
        <v>0</v>
      </c>
      <c r="R714" s="5">
        <v>40</v>
      </c>
      <c r="S714" s="5">
        <v>0</v>
      </c>
      <c r="T714" s="2">
        <v>40</v>
      </c>
      <c r="U714" t="s">
        <v>3</v>
      </c>
      <c r="V714" t="s">
        <v>1322</v>
      </c>
      <c r="W714" s="5">
        <v>33.61</v>
      </c>
    </row>
    <row r="715" spans="1:23" ht="15" x14ac:dyDescent="0.2">
      <c r="A715" t="s">
        <v>1009</v>
      </c>
      <c r="B715" s="1">
        <f>45923</f>
        <v>45923</v>
      </c>
      <c r="C715" t="s">
        <v>0</v>
      </c>
      <c r="D715">
        <v>108108</v>
      </c>
      <c r="E715" s="2">
        <v>25004752</v>
      </c>
      <c r="F715" s="2">
        <v>1</v>
      </c>
      <c r="G715" t="s">
        <v>1447</v>
      </c>
      <c r="H715" t="s">
        <v>1129</v>
      </c>
      <c r="I715" t="s">
        <v>1934</v>
      </c>
      <c r="J715" t="s">
        <v>1324</v>
      </c>
      <c r="K715" s="3">
        <v>1</v>
      </c>
      <c r="L715" s="4">
        <v>26.9</v>
      </c>
      <c r="O715" t="s">
        <v>2</v>
      </c>
      <c r="P715" t="s">
        <v>838</v>
      </c>
      <c r="Q715" s="2">
        <v>0</v>
      </c>
      <c r="R715" s="5">
        <v>26.9</v>
      </c>
      <c r="S715" s="5">
        <v>0</v>
      </c>
      <c r="T715" s="2">
        <v>27</v>
      </c>
      <c r="U715" t="s">
        <v>3</v>
      </c>
      <c r="V715" t="s">
        <v>279</v>
      </c>
      <c r="W715" s="5">
        <v>22.61</v>
      </c>
    </row>
    <row r="716" spans="1:23" ht="15" x14ac:dyDescent="0.2">
      <c r="A716" t="s">
        <v>1009</v>
      </c>
      <c r="B716" s="1">
        <f>45923</f>
        <v>45923</v>
      </c>
      <c r="C716" t="s">
        <v>0</v>
      </c>
      <c r="D716">
        <v>108108</v>
      </c>
      <c r="E716" s="2">
        <v>25004753</v>
      </c>
      <c r="F716" s="2">
        <v>1</v>
      </c>
      <c r="G716" t="s">
        <v>1605</v>
      </c>
      <c r="H716" t="s">
        <v>1283</v>
      </c>
      <c r="I716" t="s">
        <v>1935</v>
      </c>
      <c r="J716" t="s">
        <v>1324</v>
      </c>
      <c r="K716" s="3">
        <v>1</v>
      </c>
      <c r="L716" s="4">
        <v>23.9</v>
      </c>
      <c r="O716" t="s">
        <v>2</v>
      </c>
      <c r="P716" t="s">
        <v>839</v>
      </c>
      <c r="Q716" s="2">
        <v>0</v>
      </c>
      <c r="R716" s="5">
        <v>23.9</v>
      </c>
      <c r="S716" s="5">
        <v>0</v>
      </c>
      <c r="T716" s="2">
        <v>24</v>
      </c>
      <c r="U716" t="s">
        <v>3</v>
      </c>
      <c r="V716" t="s">
        <v>280</v>
      </c>
      <c r="W716" s="5">
        <v>34.28</v>
      </c>
    </row>
    <row r="717" spans="1:23" ht="15" x14ac:dyDescent="0.2">
      <c r="A717" t="s">
        <v>1009</v>
      </c>
      <c r="B717" s="1">
        <f>45923</f>
        <v>45923</v>
      </c>
      <c r="C717" t="s">
        <v>0</v>
      </c>
      <c r="D717">
        <v>108108</v>
      </c>
      <c r="E717" s="2">
        <v>25004753</v>
      </c>
      <c r="F717" s="2">
        <v>2</v>
      </c>
      <c r="G717" t="s">
        <v>1371</v>
      </c>
      <c r="H717" t="s">
        <v>1053</v>
      </c>
      <c r="I717" t="s">
        <v>1935</v>
      </c>
      <c r="J717" t="s">
        <v>1324</v>
      </c>
      <c r="K717" s="3">
        <v>2</v>
      </c>
      <c r="L717" s="4">
        <v>16.899999999999999</v>
      </c>
      <c r="O717" t="s">
        <v>2</v>
      </c>
      <c r="P717" t="s">
        <v>839</v>
      </c>
      <c r="Q717" s="2">
        <v>0</v>
      </c>
      <c r="R717" s="5">
        <v>8.4499999999999993</v>
      </c>
      <c r="S717" s="5">
        <v>0</v>
      </c>
      <c r="T717" s="2">
        <v>8</v>
      </c>
      <c r="U717" t="s">
        <v>3</v>
      </c>
      <c r="V717" t="s">
        <v>280</v>
      </c>
      <c r="W717" s="5">
        <v>34.28</v>
      </c>
    </row>
    <row r="718" spans="1:23" ht="15" x14ac:dyDescent="0.2">
      <c r="A718" t="s">
        <v>1009</v>
      </c>
      <c r="B718" s="1">
        <f>45923</f>
        <v>45923</v>
      </c>
      <c r="C718" t="s">
        <v>0</v>
      </c>
      <c r="D718">
        <v>108108</v>
      </c>
      <c r="E718" s="2">
        <v>25004754</v>
      </c>
      <c r="F718" s="2">
        <v>1</v>
      </c>
      <c r="G718" t="s">
        <v>1361</v>
      </c>
      <c r="H718" t="s">
        <v>1043</v>
      </c>
      <c r="I718" t="s">
        <v>1921</v>
      </c>
      <c r="J718" t="s">
        <v>1323</v>
      </c>
      <c r="K718" s="3">
        <v>1</v>
      </c>
      <c r="L718" s="4">
        <v>22.9</v>
      </c>
      <c r="O718" t="s">
        <v>2</v>
      </c>
      <c r="P718" t="s">
        <v>840</v>
      </c>
      <c r="Q718" s="2">
        <v>0</v>
      </c>
      <c r="R718" s="5">
        <v>22.9</v>
      </c>
      <c r="S718" s="5">
        <v>0</v>
      </c>
      <c r="T718" s="2">
        <v>23</v>
      </c>
      <c r="U718" t="s">
        <v>3</v>
      </c>
      <c r="V718" t="s">
        <v>266</v>
      </c>
      <c r="W718" s="5">
        <v>19.239999999999998</v>
      </c>
    </row>
    <row r="719" spans="1:23" ht="15" x14ac:dyDescent="0.2">
      <c r="A719" t="s">
        <v>1009</v>
      </c>
      <c r="B719" s="1">
        <f>45923</f>
        <v>45923</v>
      </c>
      <c r="C719" t="s">
        <v>0</v>
      </c>
      <c r="D719">
        <v>108108</v>
      </c>
      <c r="E719" s="2">
        <v>25004755</v>
      </c>
      <c r="F719" s="2">
        <v>1</v>
      </c>
      <c r="G719" t="s">
        <v>1606</v>
      </c>
      <c r="H719" t="s">
        <v>1284</v>
      </c>
      <c r="I719" t="s">
        <v>1932</v>
      </c>
      <c r="J719" t="s">
        <v>1324</v>
      </c>
      <c r="K719" s="3">
        <v>1</v>
      </c>
      <c r="L719" s="4">
        <v>27.9</v>
      </c>
      <c r="O719" t="s">
        <v>2</v>
      </c>
      <c r="P719" t="s">
        <v>841</v>
      </c>
      <c r="Q719" s="2">
        <v>0</v>
      </c>
      <c r="R719" s="5">
        <v>27.9</v>
      </c>
      <c r="S719" s="5">
        <v>0</v>
      </c>
      <c r="T719" s="2">
        <v>28</v>
      </c>
      <c r="U719" t="s">
        <v>3</v>
      </c>
      <c r="V719" t="s">
        <v>277</v>
      </c>
      <c r="W719" s="5">
        <v>23.45</v>
      </c>
    </row>
    <row r="720" spans="1:23" ht="15" x14ac:dyDescent="0.2">
      <c r="A720" t="s">
        <v>1009</v>
      </c>
      <c r="B720" s="1">
        <f>45923</f>
        <v>45923</v>
      </c>
      <c r="C720" t="s">
        <v>0</v>
      </c>
      <c r="D720">
        <v>108108</v>
      </c>
      <c r="E720" s="2">
        <v>25004756</v>
      </c>
      <c r="F720" s="2">
        <v>1</v>
      </c>
      <c r="G720" t="s">
        <v>1607</v>
      </c>
      <c r="H720" t="s">
        <v>1285</v>
      </c>
      <c r="I720" t="s">
        <v>1647</v>
      </c>
      <c r="J720" t="s">
        <v>1324</v>
      </c>
      <c r="K720" s="3">
        <v>1</v>
      </c>
      <c r="L720" s="4">
        <v>27.9</v>
      </c>
      <c r="O720" t="s">
        <v>2</v>
      </c>
      <c r="P720" t="s">
        <v>842</v>
      </c>
      <c r="Q720" s="2">
        <v>0</v>
      </c>
      <c r="R720" s="5">
        <v>27.9</v>
      </c>
      <c r="S720" s="5">
        <v>0</v>
      </c>
      <c r="T720" s="2">
        <v>28</v>
      </c>
      <c r="U720" t="s">
        <v>3</v>
      </c>
      <c r="V720" t="s">
        <v>1322</v>
      </c>
      <c r="W720" s="5">
        <v>27.65</v>
      </c>
    </row>
    <row r="721" spans="1:23" ht="15" x14ac:dyDescent="0.2">
      <c r="A721" t="s">
        <v>1009</v>
      </c>
      <c r="B721" s="1">
        <f>45923</f>
        <v>45923</v>
      </c>
      <c r="C721" t="s">
        <v>0</v>
      </c>
      <c r="D721">
        <v>108108</v>
      </c>
      <c r="E721" s="2">
        <v>25004756</v>
      </c>
      <c r="F721" s="2">
        <v>2</v>
      </c>
      <c r="G721" t="s">
        <v>1332</v>
      </c>
      <c r="H721" t="s">
        <v>362</v>
      </c>
      <c r="I721" t="s">
        <v>1647</v>
      </c>
      <c r="J721" t="s">
        <v>1324</v>
      </c>
      <c r="K721" s="3">
        <v>1</v>
      </c>
      <c r="L721" s="4">
        <v>5</v>
      </c>
      <c r="O721" t="s">
        <v>2</v>
      </c>
      <c r="P721" t="s">
        <v>842</v>
      </c>
      <c r="Q721" s="2">
        <v>0</v>
      </c>
      <c r="R721" s="5">
        <v>5</v>
      </c>
      <c r="S721" s="5">
        <v>0</v>
      </c>
      <c r="T721" s="2">
        <v>5</v>
      </c>
      <c r="U721" t="s">
        <v>3</v>
      </c>
      <c r="V721" t="s">
        <v>1322</v>
      </c>
      <c r="W721" s="5">
        <v>27.65</v>
      </c>
    </row>
    <row r="722" spans="1:23" ht="15" x14ac:dyDescent="0.2">
      <c r="A722" t="s">
        <v>1009</v>
      </c>
      <c r="B722" s="1">
        <f>45923</f>
        <v>45923</v>
      </c>
      <c r="C722" t="s">
        <v>0</v>
      </c>
      <c r="D722">
        <v>108108</v>
      </c>
      <c r="E722" s="2">
        <v>25004757</v>
      </c>
      <c r="F722" s="2">
        <v>1</v>
      </c>
      <c r="G722" t="s">
        <v>1608</v>
      </c>
      <c r="H722" t="s">
        <v>1286</v>
      </c>
      <c r="I722" t="s">
        <v>1936</v>
      </c>
      <c r="J722" t="s">
        <v>1324</v>
      </c>
      <c r="K722" s="3">
        <v>1</v>
      </c>
      <c r="L722" s="4">
        <v>29.9</v>
      </c>
      <c r="O722" t="s">
        <v>2</v>
      </c>
      <c r="P722" t="s">
        <v>843</v>
      </c>
      <c r="Q722" s="2">
        <v>0</v>
      </c>
      <c r="R722" s="5">
        <v>29.9</v>
      </c>
      <c r="S722" s="5">
        <v>0</v>
      </c>
      <c r="T722" s="2">
        <v>30</v>
      </c>
      <c r="U722" t="s">
        <v>3</v>
      </c>
      <c r="V722" t="s">
        <v>281</v>
      </c>
      <c r="W722" s="5">
        <v>25.13</v>
      </c>
    </row>
    <row r="723" spans="1:23" ht="15" x14ac:dyDescent="0.2">
      <c r="A723" t="s">
        <v>1009</v>
      </c>
      <c r="B723" s="1">
        <f>45923</f>
        <v>45923</v>
      </c>
      <c r="C723" t="s">
        <v>0</v>
      </c>
      <c r="D723">
        <v>108108</v>
      </c>
      <c r="E723" s="2">
        <v>25004758</v>
      </c>
      <c r="F723" s="2">
        <v>1</v>
      </c>
      <c r="G723" t="s">
        <v>1532</v>
      </c>
      <c r="H723" t="s">
        <v>1212</v>
      </c>
      <c r="I723" t="s">
        <v>1937</v>
      </c>
      <c r="J723" t="s">
        <v>1324</v>
      </c>
      <c r="K723" s="3">
        <v>1</v>
      </c>
      <c r="L723" s="4">
        <v>29.9</v>
      </c>
      <c r="O723" t="s">
        <v>2</v>
      </c>
      <c r="P723" t="s">
        <v>844</v>
      </c>
      <c r="Q723" s="2">
        <v>0</v>
      </c>
      <c r="R723" s="5">
        <v>29.9</v>
      </c>
      <c r="S723" s="5">
        <v>0</v>
      </c>
      <c r="T723" s="2">
        <v>30</v>
      </c>
      <c r="U723" t="s">
        <v>3</v>
      </c>
      <c r="V723" t="s">
        <v>282</v>
      </c>
      <c r="W723" s="5">
        <v>25.13</v>
      </c>
    </row>
    <row r="724" spans="1:23" ht="15" x14ac:dyDescent="0.2">
      <c r="A724" t="s">
        <v>1009</v>
      </c>
      <c r="B724" s="1">
        <f>45923</f>
        <v>45923</v>
      </c>
      <c r="C724" t="s">
        <v>0</v>
      </c>
      <c r="D724">
        <v>108108</v>
      </c>
      <c r="E724" s="2">
        <v>25004759</v>
      </c>
      <c r="F724" s="2">
        <v>1</v>
      </c>
      <c r="G724" t="s">
        <v>1475</v>
      </c>
      <c r="H724" t="s">
        <v>1156</v>
      </c>
      <c r="I724" t="s">
        <v>1938</v>
      </c>
      <c r="J724" t="s">
        <v>1324</v>
      </c>
      <c r="K724" s="3">
        <v>1</v>
      </c>
      <c r="L724" s="4">
        <v>27.5</v>
      </c>
      <c r="O724" t="s">
        <v>2</v>
      </c>
      <c r="P724" t="s">
        <v>845</v>
      </c>
      <c r="Q724" s="2">
        <v>0</v>
      </c>
      <c r="R724" s="5">
        <v>27.5</v>
      </c>
      <c r="S724" s="5">
        <v>0</v>
      </c>
      <c r="T724" s="2">
        <v>28</v>
      </c>
      <c r="U724" t="s">
        <v>3</v>
      </c>
      <c r="V724" t="s">
        <v>283</v>
      </c>
      <c r="W724" s="5">
        <v>23.11</v>
      </c>
    </row>
    <row r="725" spans="1:23" ht="15" x14ac:dyDescent="0.2">
      <c r="A725" t="s">
        <v>1009</v>
      </c>
      <c r="B725" s="1">
        <f>45923</f>
        <v>45923</v>
      </c>
      <c r="C725" t="s">
        <v>0</v>
      </c>
      <c r="D725">
        <v>108108</v>
      </c>
      <c r="E725" s="2">
        <v>25004760</v>
      </c>
      <c r="F725" s="2">
        <v>1</v>
      </c>
      <c r="G725" t="s">
        <v>1429</v>
      </c>
      <c r="H725" t="s">
        <v>1111</v>
      </c>
      <c r="I725" t="s">
        <v>1939</v>
      </c>
      <c r="J725" t="s">
        <v>1324</v>
      </c>
      <c r="K725" s="3">
        <v>2</v>
      </c>
      <c r="L725" s="4">
        <v>43.8</v>
      </c>
      <c r="O725" t="s">
        <v>2</v>
      </c>
      <c r="P725" t="s">
        <v>846</v>
      </c>
      <c r="Q725" s="2">
        <v>0</v>
      </c>
      <c r="R725" s="5">
        <v>21.9</v>
      </c>
      <c r="S725" s="5">
        <v>0</v>
      </c>
      <c r="T725" s="2">
        <v>22</v>
      </c>
      <c r="U725" t="s">
        <v>3</v>
      </c>
      <c r="V725" t="s">
        <v>284</v>
      </c>
      <c r="W725" s="5">
        <v>45.21</v>
      </c>
    </row>
    <row r="726" spans="1:23" ht="15" x14ac:dyDescent="0.2">
      <c r="A726" t="s">
        <v>1009</v>
      </c>
      <c r="B726" s="1">
        <f>45923</f>
        <v>45923</v>
      </c>
      <c r="C726" t="s">
        <v>0</v>
      </c>
      <c r="D726">
        <v>108108</v>
      </c>
      <c r="E726" s="2">
        <v>25004760</v>
      </c>
      <c r="F726" s="2">
        <v>2</v>
      </c>
      <c r="G726" t="s">
        <v>1332</v>
      </c>
      <c r="H726" t="s">
        <v>362</v>
      </c>
      <c r="I726" t="s">
        <v>1939</v>
      </c>
      <c r="J726" t="s">
        <v>1324</v>
      </c>
      <c r="K726" s="3">
        <v>2</v>
      </c>
      <c r="L726" s="4">
        <v>10</v>
      </c>
      <c r="O726" t="s">
        <v>2</v>
      </c>
      <c r="P726" t="s">
        <v>846</v>
      </c>
      <c r="Q726" s="2">
        <v>0</v>
      </c>
      <c r="R726" s="5">
        <v>5</v>
      </c>
      <c r="S726" s="5">
        <v>0</v>
      </c>
      <c r="T726" s="2">
        <v>5</v>
      </c>
      <c r="U726" t="s">
        <v>3</v>
      </c>
      <c r="V726" t="s">
        <v>284</v>
      </c>
      <c r="W726" s="5">
        <v>45.21</v>
      </c>
    </row>
    <row r="727" spans="1:23" ht="15" x14ac:dyDescent="0.2">
      <c r="A727" t="s">
        <v>1009</v>
      </c>
      <c r="B727" s="1">
        <f>45923</f>
        <v>45923</v>
      </c>
      <c r="C727" t="s">
        <v>0</v>
      </c>
      <c r="D727">
        <v>108108</v>
      </c>
      <c r="E727" s="2">
        <v>25004761</v>
      </c>
      <c r="F727" s="2">
        <v>1</v>
      </c>
      <c r="G727" t="s">
        <v>1332</v>
      </c>
      <c r="H727" t="s">
        <v>362</v>
      </c>
      <c r="I727" t="s">
        <v>1940</v>
      </c>
      <c r="J727" t="s">
        <v>1324</v>
      </c>
      <c r="K727" s="3">
        <v>3</v>
      </c>
      <c r="L727" s="4">
        <v>15</v>
      </c>
      <c r="O727" t="s">
        <v>2</v>
      </c>
      <c r="P727" t="s">
        <v>847</v>
      </c>
      <c r="Q727" s="2">
        <v>0</v>
      </c>
      <c r="R727" s="5">
        <v>5</v>
      </c>
      <c r="S727" s="5">
        <v>0</v>
      </c>
      <c r="T727" s="2">
        <v>5</v>
      </c>
      <c r="U727" t="s">
        <v>3</v>
      </c>
      <c r="V727" t="s">
        <v>285</v>
      </c>
      <c r="W727" s="5">
        <v>82.86</v>
      </c>
    </row>
    <row r="728" spans="1:23" ht="15" x14ac:dyDescent="0.2">
      <c r="A728" t="s">
        <v>1009</v>
      </c>
      <c r="B728" s="1">
        <f>45923</f>
        <v>45923</v>
      </c>
      <c r="C728" t="s">
        <v>0</v>
      </c>
      <c r="D728">
        <v>108108</v>
      </c>
      <c r="E728" s="2">
        <v>25004761</v>
      </c>
      <c r="F728" s="2">
        <v>2</v>
      </c>
      <c r="G728" t="s">
        <v>1554</v>
      </c>
      <c r="H728" t="s">
        <v>1233</v>
      </c>
      <c r="I728" t="s">
        <v>1940</v>
      </c>
      <c r="J728" t="s">
        <v>1324</v>
      </c>
      <c r="K728" s="3">
        <v>2</v>
      </c>
      <c r="L728" s="4">
        <v>43.8</v>
      </c>
      <c r="O728" t="s">
        <v>2</v>
      </c>
      <c r="P728" t="s">
        <v>847</v>
      </c>
      <c r="Q728" s="2">
        <v>0</v>
      </c>
      <c r="R728" s="5">
        <v>21.9</v>
      </c>
      <c r="S728" s="5">
        <v>0</v>
      </c>
      <c r="T728" s="2">
        <v>22</v>
      </c>
      <c r="U728" t="s">
        <v>3</v>
      </c>
      <c r="V728" t="s">
        <v>285</v>
      </c>
      <c r="W728" s="5">
        <v>82.86</v>
      </c>
    </row>
    <row r="729" spans="1:23" ht="15" x14ac:dyDescent="0.2">
      <c r="A729" t="s">
        <v>1009</v>
      </c>
      <c r="B729" s="1">
        <f>45923</f>
        <v>45923</v>
      </c>
      <c r="C729" t="s">
        <v>0</v>
      </c>
      <c r="D729">
        <v>108108</v>
      </c>
      <c r="E729" s="2">
        <v>25004761</v>
      </c>
      <c r="F729" s="2">
        <v>3</v>
      </c>
      <c r="G729" t="s">
        <v>1600</v>
      </c>
      <c r="H729" t="s">
        <v>1278</v>
      </c>
      <c r="I729" t="s">
        <v>1940</v>
      </c>
      <c r="J729" t="s">
        <v>1324</v>
      </c>
      <c r="K729" s="3">
        <v>1</v>
      </c>
      <c r="L729" s="4">
        <v>17.899999999999999</v>
      </c>
      <c r="O729" t="s">
        <v>2</v>
      </c>
      <c r="P729" t="s">
        <v>847</v>
      </c>
      <c r="Q729" s="2">
        <v>0</v>
      </c>
      <c r="R729" s="5">
        <v>17.899999999999999</v>
      </c>
      <c r="S729" s="5">
        <v>0</v>
      </c>
      <c r="T729" s="2">
        <v>18</v>
      </c>
      <c r="U729" t="s">
        <v>3</v>
      </c>
      <c r="V729" t="s">
        <v>285</v>
      </c>
      <c r="W729" s="5">
        <v>82.86</v>
      </c>
    </row>
    <row r="730" spans="1:23" ht="15" x14ac:dyDescent="0.2">
      <c r="A730" t="s">
        <v>1009</v>
      </c>
      <c r="B730" s="1">
        <f>45923</f>
        <v>45923</v>
      </c>
      <c r="C730" t="s">
        <v>0</v>
      </c>
      <c r="D730">
        <v>108108</v>
      </c>
      <c r="E730" s="2">
        <v>25004761</v>
      </c>
      <c r="F730" s="2">
        <v>4</v>
      </c>
      <c r="G730" t="s">
        <v>1609</v>
      </c>
      <c r="H730" t="s">
        <v>1287</v>
      </c>
      <c r="I730" t="s">
        <v>1940</v>
      </c>
      <c r="J730" t="s">
        <v>1324</v>
      </c>
      <c r="K730" s="3">
        <v>1</v>
      </c>
      <c r="L730" s="4">
        <v>21.9</v>
      </c>
      <c r="O730" t="s">
        <v>2</v>
      </c>
      <c r="P730" t="s">
        <v>847</v>
      </c>
      <c r="Q730" s="2">
        <v>0</v>
      </c>
      <c r="R730" s="5">
        <v>21.9</v>
      </c>
      <c r="S730" s="5">
        <v>0</v>
      </c>
      <c r="T730" s="2">
        <v>22</v>
      </c>
      <c r="U730" t="s">
        <v>3</v>
      </c>
      <c r="V730" t="s">
        <v>285</v>
      </c>
      <c r="W730" s="5">
        <v>82.86</v>
      </c>
    </row>
    <row r="731" spans="1:23" ht="15" x14ac:dyDescent="0.2">
      <c r="A731" t="s">
        <v>1009</v>
      </c>
      <c r="B731" s="1">
        <f>45923</f>
        <v>45923</v>
      </c>
      <c r="C731" t="s">
        <v>0</v>
      </c>
      <c r="D731">
        <v>108108</v>
      </c>
      <c r="E731" s="2">
        <v>25004762</v>
      </c>
      <c r="F731" s="2">
        <v>1</v>
      </c>
      <c r="G731" t="s">
        <v>1349</v>
      </c>
      <c r="H731" t="s">
        <v>1031</v>
      </c>
      <c r="I731" t="s">
        <v>1941</v>
      </c>
      <c r="J731" t="s">
        <v>1324</v>
      </c>
      <c r="K731" s="3">
        <v>1</v>
      </c>
      <c r="L731" s="4">
        <v>21.9</v>
      </c>
      <c r="O731" t="s">
        <v>2</v>
      </c>
      <c r="P731" t="s">
        <v>848</v>
      </c>
      <c r="Q731" s="2">
        <v>0</v>
      </c>
      <c r="R731" s="5">
        <v>21.9</v>
      </c>
      <c r="S731" s="5">
        <v>0</v>
      </c>
      <c r="T731" s="2">
        <v>22</v>
      </c>
      <c r="U731" t="s">
        <v>3</v>
      </c>
      <c r="V731" t="s">
        <v>286</v>
      </c>
      <c r="W731" s="5">
        <v>22.6</v>
      </c>
    </row>
    <row r="732" spans="1:23" ht="15" x14ac:dyDescent="0.2">
      <c r="A732" t="s">
        <v>1009</v>
      </c>
      <c r="B732" s="1">
        <f>45923</f>
        <v>45923</v>
      </c>
      <c r="C732" t="s">
        <v>0</v>
      </c>
      <c r="D732">
        <v>108108</v>
      </c>
      <c r="E732" s="2">
        <v>25004762</v>
      </c>
      <c r="F732" s="2">
        <v>2</v>
      </c>
      <c r="G732" t="s">
        <v>1332</v>
      </c>
      <c r="H732" t="s">
        <v>362</v>
      </c>
      <c r="I732" t="s">
        <v>1941</v>
      </c>
      <c r="J732" t="s">
        <v>1324</v>
      </c>
      <c r="K732" s="3">
        <v>1</v>
      </c>
      <c r="L732" s="4">
        <v>5</v>
      </c>
      <c r="O732" t="s">
        <v>2</v>
      </c>
      <c r="P732" t="s">
        <v>848</v>
      </c>
      <c r="Q732" s="2">
        <v>0</v>
      </c>
      <c r="R732" s="5">
        <v>5</v>
      </c>
      <c r="S732" s="5">
        <v>0</v>
      </c>
      <c r="T732" s="2">
        <v>5</v>
      </c>
      <c r="U732" t="s">
        <v>3</v>
      </c>
      <c r="V732" t="s">
        <v>286</v>
      </c>
      <c r="W732" s="5">
        <v>22.6</v>
      </c>
    </row>
    <row r="733" spans="1:23" ht="15" x14ac:dyDescent="0.2">
      <c r="A733" t="s">
        <v>1009</v>
      </c>
      <c r="B733" s="1">
        <f>45923</f>
        <v>45923</v>
      </c>
      <c r="C733" t="s">
        <v>0</v>
      </c>
      <c r="D733">
        <v>108108</v>
      </c>
      <c r="E733" s="2">
        <v>25004763</v>
      </c>
      <c r="F733" s="2">
        <v>1</v>
      </c>
      <c r="G733" t="s">
        <v>1646</v>
      </c>
      <c r="H733" t="s">
        <v>361</v>
      </c>
      <c r="I733" t="s">
        <v>1647</v>
      </c>
      <c r="J733" t="s">
        <v>1324</v>
      </c>
      <c r="K733" s="3">
        <v>1</v>
      </c>
      <c r="L733" s="4">
        <v>-450</v>
      </c>
      <c r="Q733" s="2">
        <v>0</v>
      </c>
      <c r="R733" s="5">
        <v>-450</v>
      </c>
      <c r="S733" s="5">
        <v>0</v>
      </c>
      <c r="T733" s="2">
        <v>-450</v>
      </c>
      <c r="U733" t="s">
        <v>1</v>
      </c>
      <c r="V733" t="s">
        <v>361</v>
      </c>
      <c r="W733" s="5">
        <v>-450</v>
      </c>
    </row>
    <row r="734" spans="1:23" ht="15" x14ac:dyDescent="0.2">
      <c r="A734" t="s">
        <v>1009</v>
      </c>
      <c r="B734" s="1">
        <f>45924</f>
        <v>45924</v>
      </c>
      <c r="C734" t="s">
        <v>0</v>
      </c>
      <c r="D734">
        <v>108108</v>
      </c>
      <c r="E734" s="2">
        <v>25004764</v>
      </c>
      <c r="F734" s="2">
        <v>1</v>
      </c>
      <c r="G734" t="s">
        <v>1646</v>
      </c>
      <c r="H734" t="s">
        <v>361</v>
      </c>
      <c r="I734" t="s">
        <v>1647</v>
      </c>
      <c r="J734" t="s">
        <v>1323</v>
      </c>
      <c r="K734" s="3">
        <v>1</v>
      </c>
      <c r="L734" s="4">
        <v>450</v>
      </c>
      <c r="Q734" s="2">
        <v>0</v>
      </c>
      <c r="R734" s="5">
        <v>450</v>
      </c>
      <c r="S734" s="5">
        <v>0</v>
      </c>
      <c r="T734" s="2">
        <v>450</v>
      </c>
      <c r="U734" t="s">
        <v>1</v>
      </c>
      <c r="V734" t="s">
        <v>361</v>
      </c>
      <c r="W734" s="5">
        <v>450</v>
      </c>
    </row>
    <row r="735" spans="1:23" ht="15" x14ac:dyDescent="0.2">
      <c r="A735" t="s">
        <v>1009</v>
      </c>
      <c r="B735" s="1">
        <f>45924</f>
        <v>45924</v>
      </c>
      <c r="C735" t="s">
        <v>0</v>
      </c>
      <c r="D735">
        <v>108108</v>
      </c>
      <c r="E735" s="2">
        <v>25004765</v>
      </c>
      <c r="F735" s="2">
        <v>1</v>
      </c>
      <c r="G735" t="s">
        <v>1610</v>
      </c>
      <c r="H735" t="s">
        <v>1288</v>
      </c>
      <c r="I735" t="s">
        <v>1942</v>
      </c>
      <c r="J735" t="s">
        <v>1323</v>
      </c>
      <c r="K735" s="3">
        <v>1</v>
      </c>
      <c r="L735" s="4">
        <v>175</v>
      </c>
      <c r="O735" t="s">
        <v>2</v>
      </c>
      <c r="P735" t="s">
        <v>849</v>
      </c>
      <c r="Q735" s="2">
        <v>0</v>
      </c>
      <c r="R735" s="5">
        <v>175</v>
      </c>
      <c r="S735" s="5">
        <v>0</v>
      </c>
      <c r="T735" s="2">
        <v>175</v>
      </c>
      <c r="U735" t="s">
        <v>3</v>
      </c>
      <c r="V735" t="s">
        <v>287</v>
      </c>
      <c r="W735" s="5">
        <v>147.06</v>
      </c>
    </row>
    <row r="736" spans="1:23" ht="15" x14ac:dyDescent="0.2">
      <c r="A736" t="s">
        <v>1009</v>
      </c>
      <c r="B736" s="1">
        <f>45924</f>
        <v>45924</v>
      </c>
      <c r="C736" t="s">
        <v>0</v>
      </c>
      <c r="D736">
        <v>108108</v>
      </c>
      <c r="E736" s="2">
        <v>25004766</v>
      </c>
      <c r="F736" s="2">
        <v>1</v>
      </c>
      <c r="G736" t="s">
        <v>1453</v>
      </c>
      <c r="H736" t="s">
        <v>1135</v>
      </c>
      <c r="I736" t="s">
        <v>1943</v>
      </c>
      <c r="J736" t="s">
        <v>1323</v>
      </c>
      <c r="K736" s="3">
        <v>1</v>
      </c>
      <c r="L736" s="4">
        <v>40.5</v>
      </c>
      <c r="O736" t="s">
        <v>2</v>
      </c>
      <c r="P736" t="s">
        <v>850</v>
      </c>
      <c r="Q736" s="2">
        <v>10</v>
      </c>
      <c r="R736" s="5">
        <v>45</v>
      </c>
      <c r="S736" s="5">
        <v>4.5</v>
      </c>
      <c r="T736" s="2">
        <v>41</v>
      </c>
      <c r="U736" t="s">
        <v>3</v>
      </c>
      <c r="V736" t="s">
        <v>288</v>
      </c>
      <c r="W736" s="5">
        <v>118.73</v>
      </c>
    </row>
    <row r="737" spans="1:23" ht="15" x14ac:dyDescent="0.2">
      <c r="A737" t="s">
        <v>1009</v>
      </c>
      <c r="B737" s="1">
        <f>45924</f>
        <v>45924</v>
      </c>
      <c r="C737" t="s">
        <v>0</v>
      </c>
      <c r="D737">
        <v>108108</v>
      </c>
      <c r="E737" s="2">
        <v>25004766</v>
      </c>
      <c r="F737" s="2">
        <v>2</v>
      </c>
      <c r="G737" t="s">
        <v>1363</v>
      </c>
      <c r="H737" t="s">
        <v>1045</v>
      </c>
      <c r="I737" t="s">
        <v>1943</v>
      </c>
      <c r="J737" t="s">
        <v>1323</v>
      </c>
      <c r="K737" s="3">
        <v>1</v>
      </c>
      <c r="L737" s="4">
        <v>28.8</v>
      </c>
      <c r="O737" t="s">
        <v>2</v>
      </c>
      <c r="P737" t="s">
        <v>850</v>
      </c>
      <c r="Q737" s="2">
        <v>10</v>
      </c>
      <c r="R737" s="5">
        <v>32</v>
      </c>
      <c r="S737" s="5">
        <v>3.2</v>
      </c>
      <c r="T737" s="2">
        <v>29</v>
      </c>
      <c r="U737" t="s">
        <v>3</v>
      </c>
      <c r="V737" t="s">
        <v>288</v>
      </c>
      <c r="W737" s="5">
        <v>118.73</v>
      </c>
    </row>
    <row r="738" spans="1:23" ht="15" x14ac:dyDescent="0.2">
      <c r="A738" t="s">
        <v>1009</v>
      </c>
      <c r="B738" s="1">
        <f>45924</f>
        <v>45924</v>
      </c>
      <c r="C738" t="s">
        <v>0</v>
      </c>
      <c r="D738">
        <v>108108</v>
      </c>
      <c r="E738" s="2">
        <v>25004766</v>
      </c>
      <c r="F738" s="2">
        <v>3</v>
      </c>
      <c r="G738" t="s">
        <v>1424</v>
      </c>
      <c r="H738" t="s">
        <v>1106</v>
      </c>
      <c r="I738" t="s">
        <v>1943</v>
      </c>
      <c r="J738" t="s">
        <v>1323</v>
      </c>
      <c r="K738" s="3">
        <v>1</v>
      </c>
      <c r="L738" s="4">
        <v>72</v>
      </c>
      <c r="O738" t="s">
        <v>2</v>
      </c>
      <c r="P738" t="s">
        <v>850</v>
      </c>
      <c r="Q738" s="2">
        <v>10</v>
      </c>
      <c r="R738" s="5">
        <v>80</v>
      </c>
      <c r="S738" s="5">
        <v>8</v>
      </c>
      <c r="T738" s="2">
        <v>72</v>
      </c>
      <c r="U738" t="s">
        <v>3</v>
      </c>
      <c r="V738" t="s">
        <v>288</v>
      </c>
      <c r="W738" s="5">
        <v>118.73</v>
      </c>
    </row>
    <row r="739" spans="1:23" ht="15" x14ac:dyDescent="0.2">
      <c r="A739" t="s">
        <v>1009</v>
      </c>
      <c r="B739" s="1">
        <f>45924</f>
        <v>45924</v>
      </c>
      <c r="C739" t="s">
        <v>0</v>
      </c>
      <c r="D739">
        <v>108108</v>
      </c>
      <c r="E739" s="2">
        <v>25004767</v>
      </c>
      <c r="F739" s="2">
        <v>1</v>
      </c>
      <c r="G739" t="s">
        <v>1603</v>
      </c>
      <c r="H739" t="s">
        <v>1281</v>
      </c>
      <c r="I739" t="s">
        <v>1647</v>
      </c>
      <c r="J739" t="s">
        <v>1323</v>
      </c>
      <c r="K739" s="3">
        <v>1</v>
      </c>
      <c r="L739" s="4">
        <v>22.9</v>
      </c>
      <c r="O739" t="s">
        <v>2</v>
      </c>
      <c r="P739" t="s">
        <v>851</v>
      </c>
      <c r="Q739" s="2">
        <v>0</v>
      </c>
      <c r="R739" s="5">
        <v>22.9</v>
      </c>
      <c r="S739" s="5">
        <v>0</v>
      </c>
      <c r="T739" s="2">
        <v>23</v>
      </c>
      <c r="U739" t="s">
        <v>3</v>
      </c>
      <c r="V739" t="s">
        <v>1322</v>
      </c>
      <c r="W739" s="5">
        <v>19.239999999999998</v>
      </c>
    </row>
    <row r="740" spans="1:23" ht="15" x14ac:dyDescent="0.2">
      <c r="A740" t="s">
        <v>1009</v>
      </c>
      <c r="B740" s="1">
        <f>45924</f>
        <v>45924</v>
      </c>
      <c r="C740" t="s">
        <v>0</v>
      </c>
      <c r="D740">
        <v>108108</v>
      </c>
      <c r="E740" s="2">
        <v>25004768</v>
      </c>
      <c r="F740" s="2">
        <v>1</v>
      </c>
      <c r="G740" t="s">
        <v>1524</v>
      </c>
      <c r="H740" t="s">
        <v>1204</v>
      </c>
      <c r="I740" t="s">
        <v>1893</v>
      </c>
      <c r="J740" t="s">
        <v>1323</v>
      </c>
      <c r="K740" s="3">
        <v>1</v>
      </c>
      <c r="L740" s="4">
        <v>21.9</v>
      </c>
      <c r="O740" t="s">
        <v>2</v>
      </c>
      <c r="P740" t="s">
        <v>852</v>
      </c>
      <c r="Q740" s="2">
        <v>0</v>
      </c>
      <c r="R740" s="5">
        <v>21.9</v>
      </c>
      <c r="S740" s="5">
        <v>0</v>
      </c>
      <c r="T740" s="2">
        <v>22</v>
      </c>
      <c r="U740" t="s">
        <v>3</v>
      </c>
      <c r="V740" t="s">
        <v>49</v>
      </c>
      <c r="W740" s="5">
        <v>22.6</v>
      </c>
    </row>
    <row r="741" spans="1:23" ht="15" x14ac:dyDescent="0.2">
      <c r="A741" t="s">
        <v>1009</v>
      </c>
      <c r="B741" s="1">
        <f>45924</f>
        <v>45924</v>
      </c>
      <c r="C741" t="s">
        <v>0</v>
      </c>
      <c r="D741">
        <v>108108</v>
      </c>
      <c r="E741" s="2">
        <v>25004768</v>
      </c>
      <c r="F741" s="2">
        <v>2</v>
      </c>
      <c r="G741" t="s">
        <v>1332</v>
      </c>
      <c r="H741" t="s">
        <v>362</v>
      </c>
      <c r="I741" t="s">
        <v>1893</v>
      </c>
      <c r="J741" t="s">
        <v>1323</v>
      </c>
      <c r="K741" s="3">
        <v>1</v>
      </c>
      <c r="L741" s="4">
        <v>5</v>
      </c>
      <c r="O741" t="s">
        <v>2</v>
      </c>
      <c r="P741" t="s">
        <v>852</v>
      </c>
      <c r="Q741" s="2">
        <v>0</v>
      </c>
      <c r="R741" s="5">
        <v>5</v>
      </c>
      <c r="S741" s="5">
        <v>0</v>
      </c>
      <c r="T741" s="2">
        <v>5</v>
      </c>
      <c r="U741" t="s">
        <v>3</v>
      </c>
      <c r="V741" t="s">
        <v>49</v>
      </c>
      <c r="W741" s="5">
        <v>22.6</v>
      </c>
    </row>
    <row r="742" spans="1:23" ht="15" x14ac:dyDescent="0.2">
      <c r="A742" t="s">
        <v>1009</v>
      </c>
      <c r="B742" s="1">
        <f>45924</f>
        <v>45924</v>
      </c>
      <c r="C742" t="s">
        <v>0</v>
      </c>
      <c r="D742">
        <v>108108</v>
      </c>
      <c r="E742" s="2">
        <v>25004769</v>
      </c>
      <c r="F742" s="2">
        <v>1</v>
      </c>
      <c r="G742" t="s">
        <v>1360</v>
      </c>
      <c r="H742" t="s">
        <v>1042</v>
      </c>
      <c r="I742" t="s">
        <v>1647</v>
      </c>
      <c r="J742" t="s">
        <v>1323</v>
      </c>
      <c r="K742" s="3">
        <v>1</v>
      </c>
      <c r="L742" s="4">
        <v>22.9</v>
      </c>
      <c r="O742" t="s">
        <v>2</v>
      </c>
      <c r="P742" t="s">
        <v>853</v>
      </c>
      <c r="Q742" s="2">
        <v>0</v>
      </c>
      <c r="R742" s="5">
        <v>22.9</v>
      </c>
      <c r="S742" s="5">
        <v>0</v>
      </c>
      <c r="T742" s="2">
        <v>23</v>
      </c>
      <c r="U742" t="s">
        <v>3</v>
      </c>
      <c r="V742" t="s">
        <v>1322</v>
      </c>
      <c r="W742" s="5">
        <v>19.239999999999998</v>
      </c>
    </row>
    <row r="743" spans="1:23" ht="15" x14ac:dyDescent="0.2">
      <c r="A743" t="s">
        <v>1009</v>
      </c>
      <c r="B743" s="1">
        <f>45924</f>
        <v>45924</v>
      </c>
      <c r="C743" t="s">
        <v>0</v>
      </c>
      <c r="D743">
        <v>108108</v>
      </c>
      <c r="E743" s="2">
        <v>25004770</v>
      </c>
      <c r="F743" s="2">
        <v>1</v>
      </c>
      <c r="G743" t="s">
        <v>1383</v>
      </c>
      <c r="H743" t="s">
        <v>1065</v>
      </c>
      <c r="I743" t="s">
        <v>1944</v>
      </c>
      <c r="J743" t="s">
        <v>1323</v>
      </c>
      <c r="K743" s="3">
        <v>3</v>
      </c>
      <c r="L743" s="4">
        <v>68.7</v>
      </c>
      <c r="O743" t="s">
        <v>2</v>
      </c>
      <c r="P743" t="s">
        <v>854</v>
      </c>
      <c r="Q743" s="2">
        <v>0</v>
      </c>
      <c r="R743" s="5">
        <v>22.9</v>
      </c>
      <c r="S743" s="5">
        <v>0</v>
      </c>
      <c r="T743" s="2">
        <v>23</v>
      </c>
      <c r="U743" t="s">
        <v>3</v>
      </c>
      <c r="V743" t="s">
        <v>289</v>
      </c>
      <c r="W743" s="5">
        <v>57.73</v>
      </c>
    </row>
    <row r="744" spans="1:23" ht="15" x14ac:dyDescent="0.2">
      <c r="A744" t="s">
        <v>1009</v>
      </c>
      <c r="B744" s="1">
        <f>45924</f>
        <v>45924</v>
      </c>
      <c r="C744" t="s">
        <v>0</v>
      </c>
      <c r="D744">
        <v>108108</v>
      </c>
      <c r="E744" s="2">
        <v>25004771</v>
      </c>
      <c r="F744" s="2">
        <v>1</v>
      </c>
      <c r="G744" t="s">
        <v>1611</v>
      </c>
      <c r="H744" t="s">
        <v>1289</v>
      </c>
      <c r="I744" t="s">
        <v>1945</v>
      </c>
      <c r="J744" t="s">
        <v>1323</v>
      </c>
      <c r="K744" s="3">
        <v>1</v>
      </c>
      <c r="L744" s="4">
        <v>22.9</v>
      </c>
      <c r="O744" t="s">
        <v>2</v>
      </c>
      <c r="P744" t="s">
        <v>855</v>
      </c>
      <c r="Q744" s="2">
        <v>0</v>
      </c>
      <c r="R744" s="5">
        <v>22.9</v>
      </c>
      <c r="S744" s="5">
        <v>0</v>
      </c>
      <c r="T744" s="2">
        <v>23</v>
      </c>
      <c r="U744" t="s">
        <v>3</v>
      </c>
      <c r="V744" t="s">
        <v>289</v>
      </c>
      <c r="W744" s="5">
        <v>19.239999999999998</v>
      </c>
    </row>
    <row r="745" spans="1:23" ht="15" x14ac:dyDescent="0.2">
      <c r="A745" t="s">
        <v>1009</v>
      </c>
      <c r="B745" s="1">
        <f>45924</f>
        <v>45924</v>
      </c>
      <c r="C745" t="s">
        <v>0</v>
      </c>
      <c r="D745">
        <v>108108</v>
      </c>
      <c r="E745" s="2">
        <v>25004772</v>
      </c>
      <c r="F745" s="2">
        <v>1</v>
      </c>
      <c r="G745" t="s">
        <v>1412</v>
      </c>
      <c r="H745" t="s">
        <v>1094</v>
      </c>
      <c r="I745" t="s">
        <v>1721</v>
      </c>
      <c r="J745" t="s">
        <v>1323</v>
      </c>
      <c r="K745" s="3">
        <v>1</v>
      </c>
      <c r="L745" s="4">
        <v>26.9</v>
      </c>
      <c r="O745" t="s">
        <v>2</v>
      </c>
      <c r="P745" t="s">
        <v>856</v>
      </c>
      <c r="Q745" s="2">
        <v>0</v>
      </c>
      <c r="R745" s="5">
        <v>26.9</v>
      </c>
      <c r="S745" s="5">
        <v>0</v>
      </c>
      <c r="T745" s="2">
        <v>27</v>
      </c>
      <c r="U745" t="s">
        <v>3</v>
      </c>
      <c r="V745" t="s">
        <v>77</v>
      </c>
      <c r="W745" s="5">
        <v>22.61</v>
      </c>
    </row>
    <row r="746" spans="1:23" ht="15" x14ac:dyDescent="0.2">
      <c r="A746" t="s">
        <v>1009</v>
      </c>
      <c r="B746" s="1">
        <f>45924</f>
        <v>45924</v>
      </c>
      <c r="C746" t="s">
        <v>0</v>
      </c>
      <c r="D746">
        <v>108108</v>
      </c>
      <c r="E746" s="2">
        <v>25004773</v>
      </c>
      <c r="F746" s="2">
        <v>1</v>
      </c>
      <c r="G746" t="s">
        <v>1612</v>
      </c>
      <c r="H746" t="s">
        <v>1290</v>
      </c>
      <c r="I746" t="s">
        <v>1946</v>
      </c>
      <c r="J746" t="s">
        <v>1325</v>
      </c>
      <c r="K746" s="3">
        <v>1</v>
      </c>
      <c r="L746" s="4">
        <v>34.9</v>
      </c>
      <c r="O746" t="s">
        <v>2</v>
      </c>
      <c r="P746" t="s">
        <v>857</v>
      </c>
      <c r="Q746" s="2">
        <v>0</v>
      </c>
      <c r="R746" s="5">
        <v>34.9</v>
      </c>
      <c r="S746" s="5">
        <v>0</v>
      </c>
      <c r="T746" s="2">
        <v>35</v>
      </c>
      <c r="U746" t="s">
        <v>3</v>
      </c>
      <c r="V746" t="s">
        <v>290</v>
      </c>
      <c r="W746" s="5">
        <v>86.81</v>
      </c>
    </row>
    <row r="747" spans="1:23" ht="15" x14ac:dyDescent="0.2">
      <c r="A747" t="s">
        <v>1009</v>
      </c>
      <c r="B747" s="1">
        <f>45924</f>
        <v>45924</v>
      </c>
      <c r="C747" t="s">
        <v>0</v>
      </c>
      <c r="D747">
        <v>108108</v>
      </c>
      <c r="E747" s="2">
        <v>25004773</v>
      </c>
      <c r="F747" s="2">
        <v>2</v>
      </c>
      <c r="G747" t="s">
        <v>1612</v>
      </c>
      <c r="H747" t="s">
        <v>1290</v>
      </c>
      <c r="I747" t="s">
        <v>1946</v>
      </c>
      <c r="J747" t="s">
        <v>1325</v>
      </c>
      <c r="K747" s="3">
        <v>1</v>
      </c>
      <c r="L747" s="4">
        <v>34.9</v>
      </c>
      <c r="O747" t="s">
        <v>2</v>
      </c>
      <c r="P747" t="s">
        <v>857</v>
      </c>
      <c r="Q747" s="2">
        <v>0</v>
      </c>
      <c r="R747" s="5">
        <v>34.9</v>
      </c>
      <c r="S747" s="5">
        <v>0</v>
      </c>
      <c r="T747" s="2">
        <v>35</v>
      </c>
      <c r="U747" t="s">
        <v>3</v>
      </c>
      <c r="V747" t="s">
        <v>290</v>
      </c>
      <c r="W747" s="5">
        <v>86.81</v>
      </c>
    </row>
    <row r="748" spans="1:23" ht="15" x14ac:dyDescent="0.2">
      <c r="A748" t="s">
        <v>1009</v>
      </c>
      <c r="B748" s="1">
        <f>45924</f>
        <v>45924</v>
      </c>
      <c r="C748" t="s">
        <v>0</v>
      </c>
      <c r="D748">
        <v>108108</v>
      </c>
      <c r="E748" s="2">
        <v>25004773</v>
      </c>
      <c r="F748" s="2">
        <v>3</v>
      </c>
      <c r="G748" t="s">
        <v>1494</v>
      </c>
      <c r="H748" t="s">
        <v>1175</v>
      </c>
      <c r="I748" t="s">
        <v>1946</v>
      </c>
      <c r="J748" t="s">
        <v>1325</v>
      </c>
      <c r="K748" s="3">
        <v>1</v>
      </c>
      <c r="L748" s="4">
        <v>33.5</v>
      </c>
      <c r="O748" t="s">
        <v>2</v>
      </c>
      <c r="P748" t="s">
        <v>857</v>
      </c>
      <c r="Q748" s="2">
        <v>0</v>
      </c>
      <c r="R748" s="5">
        <v>33.5</v>
      </c>
      <c r="S748" s="5">
        <v>0</v>
      </c>
      <c r="T748" s="2">
        <v>34</v>
      </c>
      <c r="U748" t="s">
        <v>3</v>
      </c>
      <c r="V748" t="s">
        <v>290</v>
      </c>
      <c r="W748" s="5">
        <v>86.81</v>
      </c>
    </row>
    <row r="749" spans="1:23" ht="15" x14ac:dyDescent="0.2">
      <c r="A749" t="s">
        <v>1009</v>
      </c>
      <c r="B749" s="1">
        <f>45924</f>
        <v>45924</v>
      </c>
      <c r="C749" t="s">
        <v>0</v>
      </c>
      <c r="D749">
        <v>108108</v>
      </c>
      <c r="E749" s="2">
        <v>25004774</v>
      </c>
      <c r="F749" s="2">
        <v>1</v>
      </c>
      <c r="G749" t="s">
        <v>1613</v>
      </c>
      <c r="H749" t="s">
        <v>1291</v>
      </c>
      <c r="I749" t="s">
        <v>1801</v>
      </c>
      <c r="J749" t="s">
        <v>1325</v>
      </c>
      <c r="K749" s="3">
        <v>1</v>
      </c>
      <c r="L749" s="4">
        <v>18.899999999999999</v>
      </c>
      <c r="O749" t="s">
        <v>2</v>
      </c>
      <c r="P749" t="s">
        <v>858</v>
      </c>
      <c r="Q749" s="2">
        <v>0</v>
      </c>
      <c r="R749" s="5">
        <v>18.899999999999999</v>
      </c>
      <c r="S749" s="5">
        <v>0</v>
      </c>
      <c r="T749" s="2">
        <v>19</v>
      </c>
      <c r="U749" t="s">
        <v>3</v>
      </c>
      <c r="V749" t="s">
        <v>153</v>
      </c>
      <c r="W749" s="5">
        <v>41.01</v>
      </c>
    </row>
    <row r="750" spans="1:23" ht="15" x14ac:dyDescent="0.2">
      <c r="A750" t="s">
        <v>1009</v>
      </c>
      <c r="B750" s="1">
        <f>45924</f>
        <v>45924</v>
      </c>
      <c r="C750" t="s">
        <v>0</v>
      </c>
      <c r="D750">
        <v>108108</v>
      </c>
      <c r="E750" s="2">
        <v>25004774</v>
      </c>
      <c r="F750" s="2">
        <v>2</v>
      </c>
      <c r="G750" t="s">
        <v>1608</v>
      </c>
      <c r="H750" t="s">
        <v>1286</v>
      </c>
      <c r="I750" t="s">
        <v>1801</v>
      </c>
      <c r="J750" t="s">
        <v>1325</v>
      </c>
      <c r="K750" s="3">
        <v>1</v>
      </c>
      <c r="L750" s="4">
        <v>29.9</v>
      </c>
      <c r="O750" t="s">
        <v>2</v>
      </c>
      <c r="P750" t="s">
        <v>858</v>
      </c>
      <c r="Q750" s="2">
        <v>0</v>
      </c>
      <c r="R750" s="5">
        <v>29.9</v>
      </c>
      <c r="S750" s="5">
        <v>0</v>
      </c>
      <c r="T750" s="2">
        <v>30</v>
      </c>
      <c r="U750" t="s">
        <v>3</v>
      </c>
      <c r="V750" t="s">
        <v>153</v>
      </c>
      <c r="W750" s="5">
        <v>41.01</v>
      </c>
    </row>
    <row r="751" spans="1:23" ht="15" x14ac:dyDescent="0.2">
      <c r="A751" t="s">
        <v>1009</v>
      </c>
      <c r="B751" s="1">
        <f>45924</f>
        <v>45924</v>
      </c>
      <c r="C751" t="s">
        <v>0</v>
      </c>
      <c r="D751">
        <v>108108</v>
      </c>
      <c r="E751" s="2">
        <v>25004775</v>
      </c>
      <c r="F751" s="2">
        <v>1</v>
      </c>
      <c r="G751" t="s">
        <v>1415</v>
      </c>
      <c r="H751" t="s">
        <v>1097</v>
      </c>
      <c r="I751" t="s">
        <v>1947</v>
      </c>
      <c r="J751" t="s">
        <v>1325</v>
      </c>
      <c r="K751" s="3">
        <v>1</v>
      </c>
      <c r="L751" s="4">
        <v>22.9</v>
      </c>
      <c r="O751" t="s">
        <v>2</v>
      </c>
      <c r="P751" t="s">
        <v>859</v>
      </c>
      <c r="Q751" s="2">
        <v>0</v>
      </c>
      <c r="R751" s="5">
        <v>22.9</v>
      </c>
      <c r="S751" s="5">
        <v>0</v>
      </c>
      <c r="T751" s="2">
        <v>23</v>
      </c>
      <c r="U751" t="s">
        <v>3</v>
      </c>
      <c r="V751" t="s">
        <v>291</v>
      </c>
      <c r="W751" s="5">
        <v>19.239999999999998</v>
      </c>
    </row>
    <row r="752" spans="1:23" ht="15" x14ac:dyDescent="0.2">
      <c r="A752" t="s">
        <v>1009</v>
      </c>
      <c r="B752" s="1">
        <f>45924</f>
        <v>45924</v>
      </c>
      <c r="C752" t="s">
        <v>0</v>
      </c>
      <c r="D752">
        <v>108108</v>
      </c>
      <c r="E752" s="2">
        <v>25004776</v>
      </c>
      <c r="F752" s="2">
        <v>1</v>
      </c>
      <c r="G752" t="s">
        <v>1501</v>
      </c>
      <c r="H752" t="s">
        <v>1182</v>
      </c>
      <c r="I752" t="s">
        <v>1948</v>
      </c>
      <c r="J752" t="s">
        <v>1325</v>
      </c>
      <c r="K752" s="3">
        <v>1</v>
      </c>
      <c r="L752" s="4">
        <v>26.9</v>
      </c>
      <c r="O752" t="s">
        <v>2</v>
      </c>
      <c r="P752" t="s">
        <v>860</v>
      </c>
      <c r="Q752" s="2">
        <v>0</v>
      </c>
      <c r="R752" s="5">
        <v>26.9</v>
      </c>
      <c r="S752" s="5">
        <v>0</v>
      </c>
      <c r="T752" s="2">
        <v>27</v>
      </c>
      <c r="U752" t="s">
        <v>3</v>
      </c>
      <c r="V752" t="s">
        <v>292</v>
      </c>
      <c r="W752" s="5">
        <v>22.61</v>
      </c>
    </row>
    <row r="753" spans="1:23" ht="15" x14ac:dyDescent="0.2">
      <c r="A753" t="s">
        <v>1009</v>
      </c>
      <c r="B753" s="1">
        <f>45924</f>
        <v>45924</v>
      </c>
      <c r="C753" t="s">
        <v>0</v>
      </c>
      <c r="D753">
        <v>108108</v>
      </c>
      <c r="E753" s="2">
        <v>25004777</v>
      </c>
      <c r="F753" s="2">
        <v>1</v>
      </c>
      <c r="G753" t="s">
        <v>1434</v>
      </c>
      <c r="H753" t="s">
        <v>1116</v>
      </c>
      <c r="I753" t="s">
        <v>1647</v>
      </c>
      <c r="J753" t="s">
        <v>1325</v>
      </c>
      <c r="K753" s="3">
        <v>1</v>
      </c>
      <c r="L753" s="4">
        <v>22.9</v>
      </c>
      <c r="O753" t="s">
        <v>2</v>
      </c>
      <c r="P753" t="s">
        <v>861</v>
      </c>
      <c r="Q753" s="2">
        <v>0</v>
      </c>
      <c r="R753" s="5">
        <v>22.9</v>
      </c>
      <c r="S753" s="5">
        <v>0</v>
      </c>
      <c r="T753" s="2">
        <v>23</v>
      </c>
      <c r="U753" t="s">
        <v>3</v>
      </c>
      <c r="V753" t="s">
        <v>1322</v>
      </c>
      <c r="W753" s="5">
        <v>19.239999999999998</v>
      </c>
    </row>
    <row r="754" spans="1:23" ht="15" x14ac:dyDescent="0.2">
      <c r="A754" t="s">
        <v>1009</v>
      </c>
      <c r="B754" s="1">
        <f>45924</f>
        <v>45924</v>
      </c>
      <c r="C754" t="s">
        <v>0</v>
      </c>
      <c r="D754">
        <v>108108</v>
      </c>
      <c r="E754" s="2">
        <v>25004778</v>
      </c>
      <c r="F754" s="2">
        <v>1</v>
      </c>
      <c r="G754" t="s">
        <v>1434</v>
      </c>
      <c r="H754" t="s">
        <v>1116</v>
      </c>
      <c r="I754" t="s">
        <v>1829</v>
      </c>
      <c r="J754" t="s">
        <v>1325</v>
      </c>
      <c r="K754" s="3">
        <v>1</v>
      </c>
      <c r="L754" s="4">
        <v>22.9</v>
      </c>
      <c r="O754" t="s">
        <v>2</v>
      </c>
      <c r="P754" t="s">
        <v>862</v>
      </c>
      <c r="Q754" s="2">
        <v>0</v>
      </c>
      <c r="R754" s="5">
        <v>22.9</v>
      </c>
      <c r="S754" s="5">
        <v>0</v>
      </c>
      <c r="T754" s="2">
        <v>23</v>
      </c>
      <c r="U754" t="s">
        <v>3</v>
      </c>
      <c r="V754" t="s">
        <v>92</v>
      </c>
      <c r="W754" s="5">
        <v>19.239999999999998</v>
      </c>
    </row>
    <row r="755" spans="1:23" ht="15" x14ac:dyDescent="0.2">
      <c r="A755" t="s">
        <v>1009</v>
      </c>
      <c r="B755" s="1">
        <f>45924</f>
        <v>45924</v>
      </c>
      <c r="C755" t="s">
        <v>0</v>
      </c>
      <c r="D755">
        <v>108108</v>
      </c>
      <c r="E755" s="2">
        <v>25004779</v>
      </c>
      <c r="F755" s="2">
        <v>1</v>
      </c>
      <c r="G755" t="s">
        <v>1469</v>
      </c>
      <c r="H755" t="s">
        <v>1150</v>
      </c>
      <c r="I755" t="s">
        <v>1949</v>
      </c>
      <c r="J755" t="s">
        <v>1325</v>
      </c>
      <c r="K755" s="3">
        <v>1</v>
      </c>
      <c r="L755" s="4">
        <v>27.5</v>
      </c>
      <c r="O755" t="s">
        <v>2</v>
      </c>
      <c r="P755" t="s">
        <v>863</v>
      </c>
      <c r="Q755" s="2">
        <v>0</v>
      </c>
      <c r="R755" s="5">
        <v>27.5</v>
      </c>
      <c r="S755" s="5">
        <v>0</v>
      </c>
      <c r="T755" s="2">
        <v>28</v>
      </c>
      <c r="U755" t="s">
        <v>3</v>
      </c>
      <c r="V755" t="s">
        <v>293</v>
      </c>
      <c r="W755" s="5">
        <v>91.42</v>
      </c>
    </row>
    <row r="756" spans="1:23" ht="15" x14ac:dyDescent="0.2">
      <c r="A756" t="s">
        <v>1009</v>
      </c>
      <c r="B756" s="1">
        <f>45924</f>
        <v>45924</v>
      </c>
      <c r="C756" t="s">
        <v>0</v>
      </c>
      <c r="D756">
        <v>108108</v>
      </c>
      <c r="E756" s="2">
        <v>25004779</v>
      </c>
      <c r="F756" s="2">
        <v>2</v>
      </c>
      <c r="G756" t="s">
        <v>1429</v>
      </c>
      <c r="H756" t="s">
        <v>1111</v>
      </c>
      <c r="I756" t="s">
        <v>1949</v>
      </c>
      <c r="J756" t="s">
        <v>1325</v>
      </c>
      <c r="K756" s="3">
        <v>1</v>
      </c>
      <c r="L756" s="4">
        <v>21.9</v>
      </c>
      <c r="O756" t="s">
        <v>2</v>
      </c>
      <c r="P756" t="s">
        <v>863</v>
      </c>
      <c r="Q756" s="2">
        <v>0</v>
      </c>
      <c r="R756" s="5">
        <v>21.9</v>
      </c>
      <c r="S756" s="5">
        <v>0</v>
      </c>
      <c r="T756" s="2">
        <v>22</v>
      </c>
      <c r="U756" t="s">
        <v>3</v>
      </c>
      <c r="V756" t="s">
        <v>293</v>
      </c>
      <c r="W756" s="5">
        <v>91.42</v>
      </c>
    </row>
    <row r="757" spans="1:23" ht="15" x14ac:dyDescent="0.2">
      <c r="A757" t="s">
        <v>1009</v>
      </c>
      <c r="B757" s="1">
        <f>45924</f>
        <v>45924</v>
      </c>
      <c r="C757" t="s">
        <v>0</v>
      </c>
      <c r="D757">
        <v>108108</v>
      </c>
      <c r="E757" s="2">
        <v>25004779</v>
      </c>
      <c r="F757" s="2">
        <v>3</v>
      </c>
      <c r="G757" t="s">
        <v>1330</v>
      </c>
      <c r="H757" t="s">
        <v>1013</v>
      </c>
      <c r="I757" t="s">
        <v>1949</v>
      </c>
      <c r="J757" t="s">
        <v>1325</v>
      </c>
      <c r="K757" s="3">
        <v>1</v>
      </c>
      <c r="L757" s="4">
        <v>21.9</v>
      </c>
      <c r="O757" t="s">
        <v>2</v>
      </c>
      <c r="P757" t="s">
        <v>863</v>
      </c>
      <c r="Q757" s="2">
        <v>0</v>
      </c>
      <c r="R757" s="5">
        <v>21.9</v>
      </c>
      <c r="S757" s="5">
        <v>0</v>
      </c>
      <c r="T757" s="2">
        <v>22</v>
      </c>
      <c r="U757" t="s">
        <v>3</v>
      </c>
      <c r="V757" t="s">
        <v>293</v>
      </c>
      <c r="W757" s="5">
        <v>91.42</v>
      </c>
    </row>
    <row r="758" spans="1:23" ht="15" x14ac:dyDescent="0.2">
      <c r="A758" t="s">
        <v>1009</v>
      </c>
      <c r="B758" s="1">
        <f>45924</f>
        <v>45924</v>
      </c>
      <c r="C758" t="s">
        <v>0</v>
      </c>
      <c r="D758">
        <v>108108</v>
      </c>
      <c r="E758" s="2">
        <v>25004779</v>
      </c>
      <c r="F758" s="2">
        <v>4</v>
      </c>
      <c r="G758" t="s">
        <v>1332</v>
      </c>
      <c r="H758" t="s">
        <v>362</v>
      </c>
      <c r="I758" t="s">
        <v>1949</v>
      </c>
      <c r="J758" t="s">
        <v>1325</v>
      </c>
      <c r="K758" s="3">
        <v>1</v>
      </c>
      <c r="L758" s="4">
        <v>5</v>
      </c>
      <c r="O758" t="s">
        <v>2</v>
      </c>
      <c r="P758" t="s">
        <v>863</v>
      </c>
      <c r="Q758" s="2">
        <v>0</v>
      </c>
      <c r="R758" s="5">
        <v>5</v>
      </c>
      <c r="S758" s="5">
        <v>0</v>
      </c>
      <c r="T758" s="2">
        <v>5</v>
      </c>
      <c r="U758" t="s">
        <v>3</v>
      </c>
      <c r="V758" t="s">
        <v>293</v>
      </c>
      <c r="W758" s="5">
        <v>91.42</v>
      </c>
    </row>
    <row r="759" spans="1:23" ht="15" x14ac:dyDescent="0.2">
      <c r="A759" t="s">
        <v>1009</v>
      </c>
      <c r="B759" s="1">
        <f>45924</f>
        <v>45924</v>
      </c>
      <c r="C759" t="s">
        <v>0</v>
      </c>
      <c r="D759">
        <v>108108</v>
      </c>
      <c r="E759" s="2">
        <v>25004779</v>
      </c>
      <c r="F759" s="2">
        <v>5</v>
      </c>
      <c r="G759" t="s">
        <v>1332</v>
      </c>
      <c r="H759" t="s">
        <v>362</v>
      </c>
      <c r="I759" t="s">
        <v>1949</v>
      </c>
      <c r="J759" t="s">
        <v>1325</v>
      </c>
      <c r="K759" s="3">
        <v>1</v>
      </c>
      <c r="L759" s="4">
        <v>5</v>
      </c>
      <c r="O759" t="s">
        <v>2</v>
      </c>
      <c r="P759" t="s">
        <v>863</v>
      </c>
      <c r="Q759" s="2">
        <v>0</v>
      </c>
      <c r="R759" s="5">
        <v>5</v>
      </c>
      <c r="S759" s="5">
        <v>0</v>
      </c>
      <c r="T759" s="2">
        <v>5</v>
      </c>
      <c r="U759" t="s">
        <v>3</v>
      </c>
      <c r="V759" t="s">
        <v>293</v>
      </c>
      <c r="W759" s="5">
        <v>91.42</v>
      </c>
    </row>
    <row r="760" spans="1:23" ht="15" x14ac:dyDescent="0.2">
      <c r="A760" t="s">
        <v>1009</v>
      </c>
      <c r="B760" s="1">
        <f>45924</f>
        <v>45924</v>
      </c>
      <c r="C760" t="s">
        <v>0</v>
      </c>
      <c r="D760">
        <v>108108</v>
      </c>
      <c r="E760" s="2">
        <v>25004779</v>
      </c>
      <c r="F760" s="2">
        <v>6</v>
      </c>
      <c r="G760" t="s">
        <v>1469</v>
      </c>
      <c r="H760" t="s">
        <v>1150</v>
      </c>
      <c r="I760" t="s">
        <v>1949</v>
      </c>
      <c r="J760" t="s">
        <v>1325</v>
      </c>
      <c r="K760" s="3">
        <v>1</v>
      </c>
      <c r="L760" s="4">
        <v>27.5</v>
      </c>
      <c r="O760" t="s">
        <v>2</v>
      </c>
      <c r="P760" t="s">
        <v>863</v>
      </c>
      <c r="Q760" s="2">
        <v>0</v>
      </c>
      <c r="R760" s="5">
        <v>27.5</v>
      </c>
      <c r="S760" s="5">
        <v>0</v>
      </c>
      <c r="T760" s="2">
        <v>28</v>
      </c>
      <c r="U760" t="s">
        <v>3</v>
      </c>
      <c r="V760" t="s">
        <v>293</v>
      </c>
      <c r="W760" s="5">
        <v>91.42</v>
      </c>
    </row>
    <row r="761" spans="1:23" ht="15" x14ac:dyDescent="0.2">
      <c r="A761" t="s">
        <v>1009</v>
      </c>
      <c r="B761" s="1">
        <f>45924</f>
        <v>45924</v>
      </c>
      <c r="C761" t="s">
        <v>0</v>
      </c>
      <c r="D761">
        <v>108108</v>
      </c>
      <c r="E761" s="2">
        <v>25004780</v>
      </c>
      <c r="F761" s="2">
        <v>1</v>
      </c>
      <c r="G761" t="s">
        <v>1360</v>
      </c>
      <c r="H761" t="s">
        <v>1042</v>
      </c>
      <c r="I761" t="s">
        <v>1950</v>
      </c>
      <c r="J761" t="s">
        <v>1323</v>
      </c>
      <c r="K761" s="3">
        <v>1</v>
      </c>
      <c r="L761" s="4">
        <v>22.9</v>
      </c>
      <c r="O761" t="s">
        <v>2</v>
      </c>
      <c r="P761" t="s">
        <v>864</v>
      </c>
      <c r="Q761" s="2">
        <v>0</v>
      </c>
      <c r="R761" s="5">
        <v>22.9</v>
      </c>
      <c r="S761" s="5">
        <v>0</v>
      </c>
      <c r="T761" s="2">
        <v>23</v>
      </c>
      <c r="U761" t="s">
        <v>3</v>
      </c>
      <c r="V761" t="s">
        <v>49</v>
      </c>
      <c r="W761" s="5">
        <v>19.239999999999998</v>
      </c>
    </row>
    <row r="762" spans="1:23" ht="15" x14ac:dyDescent="0.2">
      <c r="A762" t="s">
        <v>1009</v>
      </c>
      <c r="B762" s="1">
        <f>45924</f>
        <v>45924</v>
      </c>
      <c r="C762" t="s">
        <v>0</v>
      </c>
      <c r="D762">
        <v>108108</v>
      </c>
      <c r="E762" s="2">
        <v>25004781</v>
      </c>
      <c r="F762" s="2">
        <v>1</v>
      </c>
      <c r="G762" t="s">
        <v>1609</v>
      </c>
      <c r="H762" t="s">
        <v>1287</v>
      </c>
      <c r="I762" t="s">
        <v>1894</v>
      </c>
      <c r="J762" t="s">
        <v>1325</v>
      </c>
      <c r="K762" s="3">
        <v>1</v>
      </c>
      <c r="L762" s="4">
        <v>21.9</v>
      </c>
      <c r="O762" t="s">
        <v>2</v>
      </c>
      <c r="P762" t="s">
        <v>865</v>
      </c>
      <c r="Q762" s="2">
        <v>0</v>
      </c>
      <c r="R762" s="5">
        <v>21.9</v>
      </c>
      <c r="S762" s="5">
        <v>0</v>
      </c>
      <c r="T762" s="2">
        <v>22</v>
      </c>
      <c r="U762" t="s">
        <v>3</v>
      </c>
      <c r="V762" t="s">
        <v>239</v>
      </c>
      <c r="W762" s="5">
        <v>18.399999999999999</v>
      </c>
    </row>
    <row r="763" spans="1:23" ht="15" x14ac:dyDescent="0.2">
      <c r="A763" t="s">
        <v>1009</v>
      </c>
      <c r="B763" s="1">
        <f>45924</f>
        <v>45924</v>
      </c>
      <c r="C763" t="s">
        <v>0</v>
      </c>
      <c r="D763">
        <v>108108</v>
      </c>
      <c r="E763" s="2">
        <v>25004782</v>
      </c>
      <c r="F763" s="2">
        <v>1</v>
      </c>
      <c r="G763" t="s">
        <v>1473</v>
      </c>
      <c r="H763" t="s">
        <v>1154</v>
      </c>
      <c r="I763" t="s">
        <v>1951</v>
      </c>
      <c r="J763" t="s">
        <v>1323</v>
      </c>
      <c r="K763" s="3">
        <v>1</v>
      </c>
      <c r="L763" s="4">
        <v>21.9</v>
      </c>
      <c r="O763" t="s">
        <v>2</v>
      </c>
      <c r="P763" t="s">
        <v>866</v>
      </c>
      <c r="Q763" s="2">
        <v>0</v>
      </c>
      <c r="R763" s="5">
        <v>21.9</v>
      </c>
      <c r="S763" s="5">
        <v>0</v>
      </c>
      <c r="T763" s="2">
        <v>22</v>
      </c>
      <c r="U763" t="s">
        <v>3</v>
      </c>
      <c r="V763" t="s">
        <v>294</v>
      </c>
      <c r="W763" s="5">
        <v>116.56</v>
      </c>
    </row>
    <row r="764" spans="1:23" ht="15" x14ac:dyDescent="0.2">
      <c r="A764" t="s">
        <v>1009</v>
      </c>
      <c r="B764" s="1">
        <f>45924</f>
        <v>45924</v>
      </c>
      <c r="C764" t="s">
        <v>0</v>
      </c>
      <c r="D764">
        <v>108108</v>
      </c>
      <c r="E764" s="2">
        <v>25004782</v>
      </c>
      <c r="F764" s="2">
        <v>2</v>
      </c>
      <c r="G764" t="s">
        <v>1332</v>
      </c>
      <c r="H764" t="s">
        <v>362</v>
      </c>
      <c r="I764" t="s">
        <v>1951</v>
      </c>
      <c r="J764" t="s">
        <v>1323</v>
      </c>
      <c r="K764" s="3">
        <v>1</v>
      </c>
      <c r="L764" s="4">
        <v>5</v>
      </c>
      <c r="O764" t="s">
        <v>2</v>
      </c>
      <c r="P764" t="s">
        <v>866</v>
      </c>
      <c r="Q764" s="2">
        <v>0</v>
      </c>
      <c r="R764" s="5">
        <v>5</v>
      </c>
      <c r="S764" s="5">
        <v>0</v>
      </c>
      <c r="T764" s="2">
        <v>5</v>
      </c>
      <c r="U764" t="s">
        <v>3</v>
      </c>
      <c r="V764" t="s">
        <v>294</v>
      </c>
      <c r="W764" s="5">
        <v>116.56</v>
      </c>
    </row>
    <row r="765" spans="1:23" ht="15" x14ac:dyDescent="0.2">
      <c r="A765" t="s">
        <v>1009</v>
      </c>
      <c r="B765" s="1">
        <f>45924</f>
        <v>45924</v>
      </c>
      <c r="C765" t="s">
        <v>0</v>
      </c>
      <c r="D765">
        <v>108108</v>
      </c>
      <c r="E765" s="2">
        <v>25004782</v>
      </c>
      <c r="F765" s="2">
        <v>3</v>
      </c>
      <c r="G765" t="s">
        <v>1488</v>
      </c>
      <c r="H765" t="s">
        <v>1169</v>
      </c>
      <c r="I765" t="s">
        <v>1951</v>
      </c>
      <c r="J765" t="s">
        <v>1323</v>
      </c>
      <c r="K765" s="3">
        <v>1</v>
      </c>
      <c r="L765" s="4">
        <v>17.899999999999999</v>
      </c>
      <c r="O765" t="s">
        <v>2</v>
      </c>
      <c r="P765" t="s">
        <v>866</v>
      </c>
      <c r="Q765" s="2">
        <v>0</v>
      </c>
      <c r="R765" s="5">
        <v>17.899999999999999</v>
      </c>
      <c r="S765" s="5">
        <v>0</v>
      </c>
      <c r="T765" s="2">
        <v>18</v>
      </c>
      <c r="U765" t="s">
        <v>3</v>
      </c>
      <c r="V765" t="s">
        <v>294</v>
      </c>
      <c r="W765" s="5">
        <v>116.56</v>
      </c>
    </row>
    <row r="766" spans="1:23" ht="15" x14ac:dyDescent="0.2">
      <c r="A766" t="s">
        <v>1009</v>
      </c>
      <c r="B766" s="1">
        <f>45924</f>
        <v>45924</v>
      </c>
      <c r="C766" t="s">
        <v>0</v>
      </c>
      <c r="D766">
        <v>108108</v>
      </c>
      <c r="E766" s="2">
        <v>25004782</v>
      </c>
      <c r="F766" s="2">
        <v>4</v>
      </c>
      <c r="G766" t="s">
        <v>1486</v>
      </c>
      <c r="H766" t="s">
        <v>1167</v>
      </c>
      <c r="I766" t="s">
        <v>1951</v>
      </c>
      <c r="J766" t="s">
        <v>1323</v>
      </c>
      <c r="K766" s="3">
        <v>1</v>
      </c>
      <c r="L766" s="4">
        <v>18</v>
      </c>
      <c r="O766" t="s">
        <v>2</v>
      </c>
      <c r="P766" t="s">
        <v>866</v>
      </c>
      <c r="Q766" s="2">
        <v>0</v>
      </c>
      <c r="R766" s="5">
        <v>18</v>
      </c>
      <c r="S766" s="5">
        <v>0</v>
      </c>
      <c r="T766" s="2">
        <v>18</v>
      </c>
      <c r="U766" t="s">
        <v>3</v>
      </c>
      <c r="V766" t="s">
        <v>294</v>
      </c>
      <c r="W766" s="5">
        <v>116.56</v>
      </c>
    </row>
    <row r="767" spans="1:23" ht="15" x14ac:dyDescent="0.2">
      <c r="A767" t="s">
        <v>1009</v>
      </c>
      <c r="B767" s="1">
        <f>45924</f>
        <v>45924</v>
      </c>
      <c r="C767" t="s">
        <v>0</v>
      </c>
      <c r="D767">
        <v>108108</v>
      </c>
      <c r="E767" s="2">
        <v>25004782</v>
      </c>
      <c r="F767" s="2">
        <v>5</v>
      </c>
      <c r="G767" t="s">
        <v>1577</v>
      </c>
      <c r="H767" t="s">
        <v>1255</v>
      </c>
      <c r="I767" t="s">
        <v>1951</v>
      </c>
      <c r="J767" t="s">
        <v>1323</v>
      </c>
      <c r="K767" s="3">
        <v>1</v>
      </c>
      <c r="L767" s="4">
        <v>45</v>
      </c>
      <c r="O767" t="s">
        <v>2</v>
      </c>
      <c r="P767" t="s">
        <v>866</v>
      </c>
      <c r="Q767" s="2">
        <v>0</v>
      </c>
      <c r="R767" s="5">
        <v>45</v>
      </c>
      <c r="S767" s="5">
        <v>0</v>
      </c>
      <c r="T767" s="2">
        <v>45</v>
      </c>
      <c r="U767" t="s">
        <v>3</v>
      </c>
      <c r="V767" t="s">
        <v>294</v>
      </c>
      <c r="W767" s="5">
        <v>116.56</v>
      </c>
    </row>
    <row r="768" spans="1:23" ht="15" x14ac:dyDescent="0.2">
      <c r="A768" t="s">
        <v>1009</v>
      </c>
      <c r="B768" s="1">
        <f>45924</f>
        <v>45924</v>
      </c>
      <c r="C768" t="s">
        <v>0</v>
      </c>
      <c r="D768">
        <v>108108</v>
      </c>
      <c r="E768" s="2">
        <v>25004782</v>
      </c>
      <c r="F768" s="2">
        <v>6</v>
      </c>
      <c r="G768" t="s">
        <v>1614</v>
      </c>
      <c r="H768" t="s">
        <v>1292</v>
      </c>
      <c r="I768" t="s">
        <v>1951</v>
      </c>
      <c r="J768" t="s">
        <v>1323</v>
      </c>
      <c r="K768" s="3">
        <v>1</v>
      </c>
      <c r="L768" s="4">
        <v>30.9</v>
      </c>
      <c r="O768" t="s">
        <v>2</v>
      </c>
      <c r="P768" t="s">
        <v>866</v>
      </c>
      <c r="Q768" s="2">
        <v>0</v>
      </c>
      <c r="R768" s="5">
        <v>30.9</v>
      </c>
      <c r="S768" s="5">
        <v>0</v>
      </c>
      <c r="T768" s="2">
        <v>31</v>
      </c>
      <c r="U768" t="s">
        <v>3</v>
      </c>
      <c r="V768" t="s">
        <v>294</v>
      </c>
      <c r="W768" s="5">
        <v>116.56</v>
      </c>
    </row>
    <row r="769" spans="1:23" ht="15" x14ac:dyDescent="0.2">
      <c r="A769" t="s">
        <v>1009</v>
      </c>
      <c r="B769" s="1">
        <f>45924</f>
        <v>45924</v>
      </c>
      <c r="C769" t="s">
        <v>0</v>
      </c>
      <c r="D769">
        <v>108108</v>
      </c>
      <c r="E769" s="2">
        <v>25004783</v>
      </c>
      <c r="F769" s="2">
        <v>1</v>
      </c>
      <c r="G769" t="s">
        <v>1387</v>
      </c>
      <c r="H769" t="s">
        <v>1069</v>
      </c>
      <c r="I769" t="s">
        <v>1647</v>
      </c>
      <c r="J769" t="s">
        <v>1323</v>
      </c>
      <c r="K769" s="3">
        <v>1</v>
      </c>
      <c r="L769" s="4">
        <v>26.9</v>
      </c>
      <c r="O769" t="s">
        <v>2</v>
      </c>
      <c r="P769" t="s">
        <v>867</v>
      </c>
      <c r="Q769" s="2">
        <v>0</v>
      </c>
      <c r="R769" s="5">
        <v>26.9</v>
      </c>
      <c r="S769" s="5">
        <v>0</v>
      </c>
      <c r="T769" s="2">
        <v>27</v>
      </c>
      <c r="U769" t="s">
        <v>3</v>
      </c>
      <c r="V769" t="s">
        <v>1322</v>
      </c>
      <c r="W769" s="5">
        <v>22.61</v>
      </c>
    </row>
    <row r="770" spans="1:23" ht="15" x14ac:dyDescent="0.2">
      <c r="A770" t="s">
        <v>1009</v>
      </c>
      <c r="B770" s="1">
        <f>45924</f>
        <v>45924</v>
      </c>
      <c r="C770" t="s">
        <v>0</v>
      </c>
      <c r="D770">
        <v>108108</v>
      </c>
      <c r="E770" s="2">
        <v>25004784</v>
      </c>
      <c r="F770" s="2">
        <v>1</v>
      </c>
      <c r="G770" t="s">
        <v>1407</v>
      </c>
      <c r="H770" t="s">
        <v>1089</v>
      </c>
      <c r="I770" t="s">
        <v>1927</v>
      </c>
      <c r="J770" t="s">
        <v>1325</v>
      </c>
      <c r="K770" s="3">
        <v>1</v>
      </c>
      <c r="L770" s="4">
        <v>27.5</v>
      </c>
      <c r="O770" t="s">
        <v>2</v>
      </c>
      <c r="P770" t="s">
        <v>868</v>
      </c>
      <c r="Q770" s="2">
        <v>0</v>
      </c>
      <c r="R770" s="5">
        <v>27.5</v>
      </c>
      <c r="S770" s="5">
        <v>0</v>
      </c>
      <c r="T770" s="2">
        <v>28</v>
      </c>
      <c r="U770" t="s">
        <v>3</v>
      </c>
      <c r="V770" t="s">
        <v>272</v>
      </c>
      <c r="W770" s="5">
        <v>69.33</v>
      </c>
    </row>
    <row r="771" spans="1:23" ht="15" x14ac:dyDescent="0.2">
      <c r="A771" t="s">
        <v>1009</v>
      </c>
      <c r="B771" s="1">
        <f>45924</f>
        <v>45924</v>
      </c>
      <c r="C771" t="s">
        <v>0</v>
      </c>
      <c r="D771">
        <v>108108</v>
      </c>
      <c r="E771" s="2">
        <v>25004784</v>
      </c>
      <c r="F771" s="2">
        <v>2</v>
      </c>
      <c r="G771" t="s">
        <v>1407</v>
      </c>
      <c r="H771" t="s">
        <v>1089</v>
      </c>
      <c r="I771" t="s">
        <v>1927</v>
      </c>
      <c r="J771" t="s">
        <v>1325</v>
      </c>
      <c r="K771" s="3">
        <v>1</v>
      </c>
      <c r="L771" s="4">
        <v>27.5</v>
      </c>
      <c r="O771" t="s">
        <v>2</v>
      </c>
      <c r="P771" t="s">
        <v>868</v>
      </c>
      <c r="Q771" s="2">
        <v>0</v>
      </c>
      <c r="R771" s="5">
        <v>27.5</v>
      </c>
      <c r="S771" s="5">
        <v>0</v>
      </c>
      <c r="T771" s="2">
        <v>28</v>
      </c>
      <c r="U771" t="s">
        <v>3</v>
      </c>
      <c r="V771" t="s">
        <v>272</v>
      </c>
      <c r="W771" s="5">
        <v>69.33</v>
      </c>
    </row>
    <row r="772" spans="1:23" ht="15" x14ac:dyDescent="0.2">
      <c r="A772" t="s">
        <v>1009</v>
      </c>
      <c r="B772" s="1">
        <f>45924</f>
        <v>45924</v>
      </c>
      <c r="C772" t="s">
        <v>0</v>
      </c>
      <c r="D772">
        <v>108108</v>
      </c>
      <c r="E772" s="2">
        <v>25004784</v>
      </c>
      <c r="F772" s="2">
        <v>3</v>
      </c>
      <c r="G772" t="s">
        <v>1407</v>
      </c>
      <c r="H772" t="s">
        <v>1089</v>
      </c>
      <c r="I772" t="s">
        <v>1927</v>
      </c>
      <c r="J772" t="s">
        <v>1325</v>
      </c>
      <c r="K772" s="3">
        <v>1</v>
      </c>
      <c r="L772" s="4">
        <v>27.5</v>
      </c>
      <c r="O772" t="s">
        <v>2</v>
      </c>
      <c r="P772" t="s">
        <v>868</v>
      </c>
      <c r="Q772" s="2">
        <v>0</v>
      </c>
      <c r="R772" s="5">
        <v>27.5</v>
      </c>
      <c r="S772" s="5">
        <v>0</v>
      </c>
      <c r="T772" s="2">
        <v>28</v>
      </c>
      <c r="U772" t="s">
        <v>3</v>
      </c>
      <c r="V772" t="s">
        <v>272</v>
      </c>
      <c r="W772" s="5">
        <v>69.33</v>
      </c>
    </row>
    <row r="773" spans="1:23" ht="15" x14ac:dyDescent="0.2">
      <c r="A773" t="s">
        <v>1009</v>
      </c>
      <c r="B773" s="1">
        <f>45924</f>
        <v>45924</v>
      </c>
      <c r="C773" t="s">
        <v>0</v>
      </c>
      <c r="D773">
        <v>108108</v>
      </c>
      <c r="E773" s="2">
        <v>25004785</v>
      </c>
      <c r="F773" s="2">
        <v>1</v>
      </c>
      <c r="G773" t="s">
        <v>1351</v>
      </c>
      <c r="H773" t="s">
        <v>1033</v>
      </c>
      <c r="I773" t="s">
        <v>1811</v>
      </c>
      <c r="J773" t="s">
        <v>1325</v>
      </c>
      <c r="K773" s="3">
        <v>1</v>
      </c>
      <c r="L773" s="4">
        <v>21.9</v>
      </c>
      <c r="O773" t="s">
        <v>2</v>
      </c>
      <c r="P773" t="s">
        <v>869</v>
      </c>
      <c r="Q773" s="2">
        <v>0</v>
      </c>
      <c r="R773" s="5">
        <v>21.9</v>
      </c>
      <c r="S773" s="5">
        <v>0</v>
      </c>
      <c r="T773" s="2">
        <v>22</v>
      </c>
      <c r="U773" t="s">
        <v>3</v>
      </c>
      <c r="V773" t="s">
        <v>163</v>
      </c>
      <c r="W773" s="5">
        <v>18.399999999999999</v>
      </c>
    </row>
    <row r="774" spans="1:23" ht="15" x14ac:dyDescent="0.2">
      <c r="A774" t="s">
        <v>1009</v>
      </c>
      <c r="B774" s="1">
        <f>45924</f>
        <v>45924</v>
      </c>
      <c r="C774" t="s">
        <v>0</v>
      </c>
      <c r="D774">
        <v>108108</v>
      </c>
      <c r="E774" s="2">
        <v>25004786</v>
      </c>
      <c r="F774" s="2">
        <v>1</v>
      </c>
      <c r="G774" t="s">
        <v>1414</v>
      </c>
      <c r="H774" t="s">
        <v>1096</v>
      </c>
      <c r="I774" t="s">
        <v>1928</v>
      </c>
      <c r="J774" t="s">
        <v>1325</v>
      </c>
      <c r="K774" s="3">
        <v>1</v>
      </c>
      <c r="L774" s="4">
        <v>22.9</v>
      </c>
      <c r="O774" t="s">
        <v>2</v>
      </c>
      <c r="P774" t="s">
        <v>870</v>
      </c>
      <c r="Q774" s="2">
        <v>0</v>
      </c>
      <c r="R774" s="5">
        <v>22.9</v>
      </c>
      <c r="S774" s="5">
        <v>0</v>
      </c>
      <c r="T774" s="2">
        <v>23</v>
      </c>
      <c r="U774" t="s">
        <v>3</v>
      </c>
      <c r="V774" t="s">
        <v>273</v>
      </c>
      <c r="W774" s="5">
        <v>54.87</v>
      </c>
    </row>
    <row r="775" spans="1:23" ht="15" x14ac:dyDescent="0.2">
      <c r="A775" t="s">
        <v>1009</v>
      </c>
      <c r="B775" s="1">
        <f>45924</f>
        <v>45924</v>
      </c>
      <c r="C775" t="s">
        <v>0</v>
      </c>
      <c r="D775">
        <v>108108</v>
      </c>
      <c r="E775" s="2">
        <v>25004786</v>
      </c>
      <c r="F775" s="2">
        <v>2</v>
      </c>
      <c r="G775" t="s">
        <v>1408</v>
      </c>
      <c r="H775" t="s">
        <v>1090</v>
      </c>
      <c r="I775" t="s">
        <v>1928</v>
      </c>
      <c r="J775" t="s">
        <v>1325</v>
      </c>
      <c r="K775" s="3">
        <v>1</v>
      </c>
      <c r="L775" s="4">
        <v>22.9</v>
      </c>
      <c r="O775" t="s">
        <v>2</v>
      </c>
      <c r="P775" t="s">
        <v>870</v>
      </c>
      <c r="Q775" s="2">
        <v>0</v>
      </c>
      <c r="R775" s="5">
        <v>22.9</v>
      </c>
      <c r="S775" s="5">
        <v>0</v>
      </c>
      <c r="T775" s="2">
        <v>23</v>
      </c>
      <c r="U775" t="s">
        <v>3</v>
      </c>
      <c r="V775" t="s">
        <v>273</v>
      </c>
      <c r="W775" s="5">
        <v>54.87</v>
      </c>
    </row>
    <row r="776" spans="1:23" ht="15" x14ac:dyDescent="0.2">
      <c r="A776" t="s">
        <v>1009</v>
      </c>
      <c r="B776" s="1">
        <f>45924</f>
        <v>45924</v>
      </c>
      <c r="C776" t="s">
        <v>0</v>
      </c>
      <c r="D776">
        <v>108108</v>
      </c>
      <c r="E776" s="2">
        <v>25004786</v>
      </c>
      <c r="F776" s="2">
        <v>3</v>
      </c>
      <c r="G776" t="s">
        <v>1508</v>
      </c>
      <c r="H776" t="s">
        <v>1189</v>
      </c>
      <c r="I776" t="s">
        <v>1928</v>
      </c>
      <c r="J776" t="s">
        <v>1325</v>
      </c>
      <c r="K776" s="3">
        <v>1</v>
      </c>
      <c r="L776" s="4">
        <v>19.5</v>
      </c>
      <c r="O776" t="s">
        <v>2</v>
      </c>
      <c r="P776" t="s">
        <v>870</v>
      </c>
      <c r="Q776" s="2">
        <v>0</v>
      </c>
      <c r="R776" s="5">
        <v>19.5</v>
      </c>
      <c r="S776" s="5">
        <v>0</v>
      </c>
      <c r="T776" s="2">
        <v>20</v>
      </c>
      <c r="U776" t="s">
        <v>3</v>
      </c>
      <c r="V776" t="s">
        <v>273</v>
      </c>
      <c r="W776" s="5">
        <v>54.87</v>
      </c>
    </row>
    <row r="777" spans="1:23" ht="15" x14ac:dyDescent="0.2">
      <c r="A777" t="s">
        <v>1009</v>
      </c>
      <c r="B777" s="1">
        <f>45924</f>
        <v>45924</v>
      </c>
      <c r="C777" t="s">
        <v>0</v>
      </c>
      <c r="D777">
        <v>108108</v>
      </c>
      <c r="E777" s="2">
        <v>25004787</v>
      </c>
      <c r="F777" s="2">
        <v>1</v>
      </c>
      <c r="G777" t="s">
        <v>1433</v>
      </c>
      <c r="H777" t="s">
        <v>1115</v>
      </c>
      <c r="I777" t="s">
        <v>1952</v>
      </c>
      <c r="J777" t="s">
        <v>1325</v>
      </c>
      <c r="K777" s="3">
        <v>1</v>
      </c>
      <c r="L777" s="4">
        <v>29.9</v>
      </c>
      <c r="O777" t="s">
        <v>2</v>
      </c>
      <c r="P777" t="s">
        <v>871</v>
      </c>
      <c r="Q777" s="2">
        <v>0</v>
      </c>
      <c r="R777" s="5">
        <v>29.9</v>
      </c>
      <c r="S777" s="5">
        <v>0</v>
      </c>
      <c r="T777" s="2">
        <v>30</v>
      </c>
      <c r="U777" t="s">
        <v>3</v>
      </c>
      <c r="V777" t="s">
        <v>295</v>
      </c>
      <c r="W777" s="5">
        <v>25.13</v>
      </c>
    </row>
    <row r="778" spans="1:23" ht="15" x14ac:dyDescent="0.2">
      <c r="A778" t="s">
        <v>1009</v>
      </c>
      <c r="B778" s="1">
        <f>45924</f>
        <v>45924</v>
      </c>
      <c r="C778" t="s">
        <v>0</v>
      </c>
      <c r="D778">
        <v>108108</v>
      </c>
      <c r="E778" s="2">
        <v>25004788</v>
      </c>
      <c r="F778" s="2">
        <v>1</v>
      </c>
      <c r="G778" t="s">
        <v>1597</v>
      </c>
      <c r="H778" t="s">
        <v>1275</v>
      </c>
      <c r="I778" t="s">
        <v>1843</v>
      </c>
      <c r="J778" t="s">
        <v>1325</v>
      </c>
      <c r="K778" s="3">
        <v>1</v>
      </c>
      <c r="L778" s="4">
        <v>17.899999999999999</v>
      </c>
      <c r="O778" t="s">
        <v>2</v>
      </c>
      <c r="P778" t="s">
        <v>872</v>
      </c>
      <c r="Q778" s="2">
        <v>0</v>
      </c>
      <c r="R778" s="5">
        <v>17.899999999999999</v>
      </c>
      <c r="S778" s="5">
        <v>0</v>
      </c>
      <c r="T778" s="2">
        <v>18</v>
      </c>
      <c r="U778" t="s">
        <v>3</v>
      </c>
      <c r="V778" t="s">
        <v>193</v>
      </c>
      <c r="W778" s="5">
        <v>19.239999999999998</v>
      </c>
    </row>
    <row r="779" spans="1:23" ht="15" x14ac:dyDescent="0.2">
      <c r="A779" t="s">
        <v>1009</v>
      </c>
      <c r="B779" s="1">
        <f>45924</f>
        <v>45924</v>
      </c>
      <c r="C779" t="s">
        <v>0</v>
      </c>
      <c r="D779">
        <v>108108</v>
      </c>
      <c r="E779" s="2">
        <v>25004788</v>
      </c>
      <c r="F779" s="2">
        <v>2</v>
      </c>
      <c r="G779" t="s">
        <v>1332</v>
      </c>
      <c r="H779" t="s">
        <v>362</v>
      </c>
      <c r="I779" t="s">
        <v>1843</v>
      </c>
      <c r="J779" t="s">
        <v>1325</v>
      </c>
      <c r="K779" s="3">
        <v>1</v>
      </c>
      <c r="L779" s="4">
        <v>5</v>
      </c>
      <c r="O779" t="s">
        <v>2</v>
      </c>
      <c r="P779" t="s">
        <v>872</v>
      </c>
      <c r="Q779" s="2">
        <v>0</v>
      </c>
      <c r="R779" s="5">
        <v>5</v>
      </c>
      <c r="S779" s="5">
        <v>0</v>
      </c>
      <c r="T779" s="2">
        <v>5</v>
      </c>
      <c r="U779" t="s">
        <v>3</v>
      </c>
      <c r="V779" t="s">
        <v>193</v>
      </c>
      <c r="W779" s="5">
        <v>19.239999999999998</v>
      </c>
    </row>
    <row r="780" spans="1:23" ht="15" x14ac:dyDescent="0.2">
      <c r="A780" t="s">
        <v>1009</v>
      </c>
      <c r="B780" s="1">
        <f>45924</f>
        <v>45924</v>
      </c>
      <c r="C780" t="s">
        <v>0</v>
      </c>
      <c r="D780">
        <v>108108</v>
      </c>
      <c r="E780" s="2">
        <v>25004789</v>
      </c>
      <c r="F780" s="2">
        <v>1</v>
      </c>
      <c r="G780" t="s">
        <v>1424</v>
      </c>
      <c r="H780" t="s">
        <v>1106</v>
      </c>
      <c r="I780" t="s">
        <v>1953</v>
      </c>
      <c r="J780" t="s">
        <v>1325</v>
      </c>
      <c r="K780" s="3">
        <v>1</v>
      </c>
      <c r="L780" s="4">
        <v>80</v>
      </c>
      <c r="O780" t="s">
        <v>2</v>
      </c>
      <c r="P780" t="s">
        <v>873</v>
      </c>
      <c r="Q780" s="2">
        <v>0</v>
      </c>
      <c r="R780" s="5">
        <v>80</v>
      </c>
      <c r="S780" s="5">
        <v>0</v>
      </c>
      <c r="T780" s="2">
        <v>80</v>
      </c>
      <c r="U780" t="s">
        <v>3</v>
      </c>
      <c r="V780" t="s">
        <v>296</v>
      </c>
      <c r="W780" s="5">
        <v>109.16</v>
      </c>
    </row>
    <row r="781" spans="1:23" ht="15" x14ac:dyDescent="0.2">
      <c r="A781" t="s">
        <v>1009</v>
      </c>
      <c r="B781" s="1">
        <f>45924</f>
        <v>45924</v>
      </c>
      <c r="C781" t="s">
        <v>0</v>
      </c>
      <c r="D781">
        <v>108108</v>
      </c>
      <c r="E781" s="2">
        <v>25004789</v>
      </c>
      <c r="F781" s="2">
        <v>2</v>
      </c>
      <c r="G781" t="s">
        <v>1369</v>
      </c>
      <c r="H781" t="s">
        <v>1051</v>
      </c>
      <c r="I781" t="s">
        <v>1953</v>
      </c>
      <c r="J781" t="s">
        <v>1325</v>
      </c>
      <c r="K781" s="3">
        <v>1</v>
      </c>
      <c r="L781" s="4">
        <v>9.9</v>
      </c>
      <c r="O781" t="s">
        <v>2</v>
      </c>
      <c r="P781" t="s">
        <v>873</v>
      </c>
      <c r="Q781" s="2">
        <v>0</v>
      </c>
      <c r="R781" s="5">
        <v>9.9</v>
      </c>
      <c r="S781" s="5">
        <v>0</v>
      </c>
      <c r="T781" s="2">
        <v>10</v>
      </c>
      <c r="U781" t="s">
        <v>3</v>
      </c>
      <c r="V781" t="s">
        <v>296</v>
      </c>
      <c r="W781" s="5">
        <v>109.16</v>
      </c>
    </row>
    <row r="782" spans="1:23" ht="15" x14ac:dyDescent="0.2">
      <c r="A782" t="s">
        <v>1009</v>
      </c>
      <c r="B782" s="1">
        <f>45924</f>
        <v>45924</v>
      </c>
      <c r="C782" t="s">
        <v>0</v>
      </c>
      <c r="D782">
        <v>108108</v>
      </c>
      <c r="E782" s="2">
        <v>25004789</v>
      </c>
      <c r="F782" s="2">
        <v>3</v>
      </c>
      <c r="G782" t="s">
        <v>1615</v>
      </c>
      <c r="H782" t="s">
        <v>1293</v>
      </c>
      <c r="I782" t="s">
        <v>1953</v>
      </c>
      <c r="J782" t="s">
        <v>1325</v>
      </c>
      <c r="K782" s="3">
        <v>1</v>
      </c>
      <c r="L782" s="4">
        <v>40</v>
      </c>
      <c r="O782" t="s">
        <v>2</v>
      </c>
      <c r="P782" t="s">
        <v>873</v>
      </c>
      <c r="Q782" s="2">
        <v>0</v>
      </c>
      <c r="R782" s="5">
        <v>40</v>
      </c>
      <c r="S782" s="5">
        <v>0</v>
      </c>
      <c r="T782" s="2">
        <v>40</v>
      </c>
      <c r="U782" t="s">
        <v>3</v>
      </c>
      <c r="V782" t="s">
        <v>296</v>
      </c>
      <c r="W782" s="5">
        <v>109.16</v>
      </c>
    </row>
    <row r="783" spans="1:23" ht="15" x14ac:dyDescent="0.2">
      <c r="A783" t="s">
        <v>1009</v>
      </c>
      <c r="B783" s="1">
        <f>45924</f>
        <v>45924</v>
      </c>
      <c r="C783" t="s">
        <v>0</v>
      </c>
      <c r="D783">
        <v>108108</v>
      </c>
      <c r="E783" s="2">
        <v>25004790</v>
      </c>
      <c r="F783" s="2">
        <v>1</v>
      </c>
      <c r="G783" t="s">
        <v>1616</v>
      </c>
      <c r="H783" t="s">
        <v>1294</v>
      </c>
      <c r="I783" t="s">
        <v>1951</v>
      </c>
      <c r="J783" t="s">
        <v>1325</v>
      </c>
      <c r="K783" s="3">
        <v>1</v>
      </c>
      <c r="L783" s="4">
        <v>31.5</v>
      </c>
      <c r="O783" t="s">
        <v>2</v>
      </c>
      <c r="P783" t="s">
        <v>874</v>
      </c>
      <c r="Q783" s="2">
        <v>50</v>
      </c>
      <c r="R783" s="5">
        <v>63</v>
      </c>
      <c r="S783" s="5">
        <v>31.5</v>
      </c>
      <c r="T783" s="2">
        <v>32</v>
      </c>
      <c r="U783" t="s">
        <v>3</v>
      </c>
      <c r="V783" t="s">
        <v>294</v>
      </c>
      <c r="W783" s="5">
        <v>26.47</v>
      </c>
    </row>
    <row r="784" spans="1:23" ht="15" x14ac:dyDescent="0.2">
      <c r="A784" t="s">
        <v>1009</v>
      </c>
      <c r="B784" s="1">
        <f>45924</f>
        <v>45924</v>
      </c>
      <c r="C784" t="s">
        <v>0</v>
      </c>
      <c r="D784">
        <v>108108</v>
      </c>
      <c r="E784" s="2">
        <v>25004791</v>
      </c>
      <c r="F784" s="2">
        <v>1</v>
      </c>
      <c r="G784" t="s">
        <v>1617</v>
      </c>
      <c r="H784" t="s">
        <v>1295</v>
      </c>
      <c r="I784" t="s">
        <v>1647</v>
      </c>
      <c r="J784" t="s">
        <v>1325</v>
      </c>
      <c r="K784" s="3">
        <v>1</v>
      </c>
      <c r="L784" s="4">
        <v>27.5</v>
      </c>
      <c r="O784" t="s">
        <v>2</v>
      </c>
      <c r="P784" t="s">
        <v>875</v>
      </c>
      <c r="Q784" s="2">
        <v>0</v>
      </c>
      <c r="R784" s="5">
        <v>27.5</v>
      </c>
      <c r="S784" s="5">
        <v>0</v>
      </c>
      <c r="T784" s="2">
        <v>28</v>
      </c>
      <c r="U784" t="s">
        <v>3</v>
      </c>
      <c r="V784" t="s">
        <v>1322</v>
      </c>
      <c r="W784" s="5">
        <v>23.11</v>
      </c>
    </row>
    <row r="785" spans="1:23" ht="15" x14ac:dyDescent="0.2">
      <c r="A785" t="s">
        <v>1009</v>
      </c>
      <c r="B785" s="1">
        <f>45924</f>
        <v>45924</v>
      </c>
      <c r="C785" t="s">
        <v>0</v>
      </c>
      <c r="D785">
        <v>108108</v>
      </c>
      <c r="E785" s="2">
        <v>25004792</v>
      </c>
      <c r="F785" s="2">
        <v>1</v>
      </c>
      <c r="G785" t="s">
        <v>1646</v>
      </c>
      <c r="H785" t="s">
        <v>361</v>
      </c>
      <c r="I785" t="s">
        <v>1647</v>
      </c>
      <c r="J785" t="s">
        <v>1325</v>
      </c>
      <c r="K785" s="3">
        <v>1</v>
      </c>
      <c r="L785" s="4">
        <v>-450</v>
      </c>
      <c r="Q785" s="2">
        <v>0</v>
      </c>
      <c r="R785" s="5">
        <v>-450</v>
      </c>
      <c r="S785" s="5">
        <v>0</v>
      </c>
      <c r="T785" s="2">
        <v>-450</v>
      </c>
      <c r="U785" t="s">
        <v>1</v>
      </c>
      <c r="V785" t="s">
        <v>361</v>
      </c>
      <c r="W785" s="5">
        <v>-450</v>
      </c>
    </row>
    <row r="786" spans="1:23" ht="15" x14ac:dyDescent="0.2">
      <c r="A786" t="s">
        <v>1009</v>
      </c>
      <c r="B786" s="1">
        <f>45925</f>
        <v>45925</v>
      </c>
      <c r="C786" t="s">
        <v>0</v>
      </c>
      <c r="D786">
        <v>108108</v>
      </c>
      <c r="E786" s="2">
        <v>25004793</v>
      </c>
      <c r="F786" s="2">
        <v>1</v>
      </c>
      <c r="G786" t="s">
        <v>1646</v>
      </c>
      <c r="H786" t="s">
        <v>361</v>
      </c>
      <c r="I786" t="s">
        <v>1647</v>
      </c>
      <c r="J786" t="s">
        <v>1323</v>
      </c>
      <c r="K786" s="3">
        <v>1</v>
      </c>
      <c r="L786" s="4">
        <v>450</v>
      </c>
      <c r="Q786" s="2">
        <v>0</v>
      </c>
      <c r="R786" s="5">
        <v>450</v>
      </c>
      <c r="S786" s="5">
        <v>0</v>
      </c>
      <c r="T786" s="2">
        <v>450</v>
      </c>
      <c r="U786" t="s">
        <v>1</v>
      </c>
      <c r="V786" t="s">
        <v>361</v>
      </c>
      <c r="W786" s="5">
        <v>450</v>
      </c>
    </row>
    <row r="787" spans="1:23" ht="15" x14ac:dyDescent="0.2">
      <c r="A787" t="s">
        <v>1009</v>
      </c>
      <c r="B787" s="1">
        <f>45925</f>
        <v>45925</v>
      </c>
      <c r="C787" t="s">
        <v>0</v>
      </c>
      <c r="D787">
        <v>108108</v>
      </c>
      <c r="E787" s="2">
        <v>25004794</v>
      </c>
      <c r="F787" s="2">
        <v>1</v>
      </c>
      <c r="G787" t="s">
        <v>1547</v>
      </c>
      <c r="H787" t="s">
        <v>1226</v>
      </c>
      <c r="I787" t="s">
        <v>1954</v>
      </c>
      <c r="J787" t="s">
        <v>1325</v>
      </c>
      <c r="K787" s="3">
        <v>1</v>
      </c>
      <c r="L787" s="4">
        <v>31</v>
      </c>
      <c r="O787" t="s">
        <v>2</v>
      </c>
      <c r="P787" t="s">
        <v>876</v>
      </c>
      <c r="Q787" s="2">
        <v>0</v>
      </c>
      <c r="R787" s="5">
        <v>31</v>
      </c>
      <c r="S787" s="5">
        <v>0</v>
      </c>
      <c r="T787" s="2">
        <v>31</v>
      </c>
      <c r="U787" t="s">
        <v>3</v>
      </c>
      <c r="V787" t="s">
        <v>297</v>
      </c>
      <c r="W787" s="5">
        <v>46.13</v>
      </c>
    </row>
    <row r="788" spans="1:23" ht="15" x14ac:dyDescent="0.2">
      <c r="A788" t="s">
        <v>1009</v>
      </c>
      <c r="B788" s="1">
        <f>45925</f>
        <v>45925</v>
      </c>
      <c r="C788" t="s">
        <v>0</v>
      </c>
      <c r="D788">
        <v>108108</v>
      </c>
      <c r="E788" s="2">
        <v>25004794</v>
      </c>
      <c r="F788" s="2">
        <v>2</v>
      </c>
      <c r="G788" t="s">
        <v>1460</v>
      </c>
      <c r="H788" t="s">
        <v>1142</v>
      </c>
      <c r="I788" t="s">
        <v>1954</v>
      </c>
      <c r="J788" t="s">
        <v>1325</v>
      </c>
      <c r="K788" s="3">
        <v>1</v>
      </c>
      <c r="L788" s="4">
        <v>23.9</v>
      </c>
      <c r="O788" t="s">
        <v>2</v>
      </c>
      <c r="P788" t="s">
        <v>876</v>
      </c>
      <c r="Q788" s="2">
        <v>0</v>
      </c>
      <c r="R788" s="5">
        <v>23.9</v>
      </c>
      <c r="S788" s="5">
        <v>0</v>
      </c>
      <c r="T788" s="2">
        <v>24</v>
      </c>
      <c r="U788" t="s">
        <v>3</v>
      </c>
      <c r="V788" t="s">
        <v>297</v>
      </c>
      <c r="W788" s="5">
        <v>46.13</v>
      </c>
    </row>
    <row r="789" spans="1:23" ht="15" x14ac:dyDescent="0.2">
      <c r="A789" t="s">
        <v>1009</v>
      </c>
      <c r="B789" s="1">
        <f>45925</f>
        <v>45925</v>
      </c>
      <c r="C789" t="s">
        <v>0</v>
      </c>
      <c r="D789">
        <v>108108</v>
      </c>
      <c r="E789" s="2">
        <v>25004795</v>
      </c>
      <c r="F789" s="2">
        <v>1</v>
      </c>
      <c r="G789" t="s">
        <v>1343</v>
      </c>
      <c r="H789" t="s">
        <v>1025</v>
      </c>
      <c r="I789" t="s">
        <v>1955</v>
      </c>
      <c r="J789" t="s">
        <v>1323</v>
      </c>
      <c r="K789" s="3">
        <v>1</v>
      </c>
      <c r="L789" s="4">
        <v>17.899999999999999</v>
      </c>
      <c r="O789" t="s">
        <v>2</v>
      </c>
      <c r="P789" t="s">
        <v>877</v>
      </c>
      <c r="Q789" s="2">
        <v>0</v>
      </c>
      <c r="R789" s="5">
        <v>17.899999999999999</v>
      </c>
      <c r="S789" s="5">
        <v>0</v>
      </c>
      <c r="T789" s="2">
        <v>18</v>
      </c>
      <c r="U789" t="s">
        <v>3</v>
      </c>
      <c r="V789" t="s">
        <v>298</v>
      </c>
      <c r="W789" s="5">
        <v>19.239999999999998</v>
      </c>
    </row>
    <row r="790" spans="1:23" ht="15" x14ac:dyDescent="0.2">
      <c r="A790" t="s">
        <v>1009</v>
      </c>
      <c r="B790" s="1">
        <f>45925</f>
        <v>45925</v>
      </c>
      <c r="C790" t="s">
        <v>0</v>
      </c>
      <c r="D790">
        <v>108108</v>
      </c>
      <c r="E790" s="2">
        <v>25004795</v>
      </c>
      <c r="F790" s="2">
        <v>2</v>
      </c>
      <c r="G790" t="s">
        <v>1332</v>
      </c>
      <c r="H790" t="s">
        <v>362</v>
      </c>
      <c r="I790" t="s">
        <v>1955</v>
      </c>
      <c r="J790" t="s">
        <v>1323</v>
      </c>
      <c r="K790" s="3">
        <v>1</v>
      </c>
      <c r="L790" s="4">
        <v>5</v>
      </c>
      <c r="O790" t="s">
        <v>2</v>
      </c>
      <c r="P790" t="s">
        <v>877</v>
      </c>
      <c r="Q790" s="2">
        <v>0</v>
      </c>
      <c r="R790" s="5">
        <v>5</v>
      </c>
      <c r="S790" s="5">
        <v>0</v>
      </c>
      <c r="T790" s="2">
        <v>5</v>
      </c>
      <c r="U790" t="s">
        <v>3</v>
      </c>
      <c r="V790" t="s">
        <v>298</v>
      </c>
      <c r="W790" s="5">
        <v>19.239999999999998</v>
      </c>
    </row>
    <row r="791" spans="1:23" ht="15" x14ac:dyDescent="0.2">
      <c r="A791" t="s">
        <v>1009</v>
      </c>
      <c r="B791" s="1">
        <f>45925</f>
        <v>45925</v>
      </c>
      <c r="C791" t="s">
        <v>0</v>
      </c>
      <c r="D791">
        <v>108108</v>
      </c>
      <c r="E791" s="2">
        <v>25004796</v>
      </c>
      <c r="F791" s="2">
        <v>1</v>
      </c>
      <c r="G791" t="s">
        <v>1339</v>
      </c>
      <c r="H791" t="s">
        <v>1021</v>
      </c>
      <c r="I791" t="s">
        <v>1956</v>
      </c>
      <c r="J791" t="s">
        <v>1323</v>
      </c>
      <c r="K791" s="3">
        <v>1</v>
      </c>
      <c r="L791" s="4">
        <v>24</v>
      </c>
      <c r="O791" t="s">
        <v>2</v>
      </c>
      <c r="P791" t="s">
        <v>878</v>
      </c>
      <c r="Q791" s="2">
        <v>0</v>
      </c>
      <c r="R791" s="5">
        <v>24</v>
      </c>
      <c r="S791" s="5">
        <v>0</v>
      </c>
      <c r="T791" s="2">
        <v>24</v>
      </c>
      <c r="U791" t="s">
        <v>3</v>
      </c>
      <c r="V791" t="s">
        <v>299</v>
      </c>
      <c r="W791" s="5">
        <v>20.170000000000002</v>
      </c>
    </row>
    <row r="792" spans="1:23" ht="15" x14ac:dyDescent="0.2">
      <c r="A792" t="s">
        <v>1009</v>
      </c>
      <c r="B792" s="1">
        <f>45925</f>
        <v>45925</v>
      </c>
      <c r="C792" t="s">
        <v>0</v>
      </c>
      <c r="D792">
        <v>108108</v>
      </c>
      <c r="E792" s="2">
        <v>25004797</v>
      </c>
      <c r="F792" s="2">
        <v>1</v>
      </c>
      <c r="G792" t="s">
        <v>1333</v>
      </c>
      <c r="H792" t="s">
        <v>1015</v>
      </c>
      <c r="I792" t="s">
        <v>1841</v>
      </c>
      <c r="J792" t="s">
        <v>1325</v>
      </c>
      <c r="K792" s="3">
        <v>1</v>
      </c>
      <c r="L792" s="4">
        <v>21.9</v>
      </c>
      <c r="O792" t="s">
        <v>2</v>
      </c>
      <c r="P792" t="s">
        <v>879</v>
      </c>
      <c r="Q792" s="2">
        <v>0</v>
      </c>
      <c r="R792" s="5">
        <v>21.9</v>
      </c>
      <c r="S792" s="5">
        <v>0</v>
      </c>
      <c r="T792" s="2">
        <v>22</v>
      </c>
      <c r="U792" t="s">
        <v>3</v>
      </c>
      <c r="V792" t="s">
        <v>191</v>
      </c>
      <c r="W792" s="5">
        <v>27.64</v>
      </c>
    </row>
    <row r="793" spans="1:23" ht="15" x14ac:dyDescent="0.2">
      <c r="A793" t="s">
        <v>1009</v>
      </c>
      <c r="B793" s="1">
        <f>45925</f>
        <v>45925</v>
      </c>
      <c r="C793" t="s">
        <v>0</v>
      </c>
      <c r="D793">
        <v>108108</v>
      </c>
      <c r="E793" s="2">
        <v>25004797</v>
      </c>
      <c r="F793" s="2">
        <v>2</v>
      </c>
      <c r="G793" t="s">
        <v>1332</v>
      </c>
      <c r="H793" t="s">
        <v>362</v>
      </c>
      <c r="I793" t="s">
        <v>1841</v>
      </c>
      <c r="J793" t="s">
        <v>1325</v>
      </c>
      <c r="K793" s="3">
        <v>1</v>
      </c>
      <c r="L793" s="4">
        <v>5</v>
      </c>
      <c r="O793" t="s">
        <v>2</v>
      </c>
      <c r="P793" t="s">
        <v>879</v>
      </c>
      <c r="Q793" s="2">
        <v>0</v>
      </c>
      <c r="R793" s="5">
        <v>5</v>
      </c>
      <c r="S793" s="5">
        <v>0</v>
      </c>
      <c r="T793" s="2">
        <v>5</v>
      </c>
      <c r="U793" t="s">
        <v>3</v>
      </c>
      <c r="V793" t="s">
        <v>191</v>
      </c>
      <c r="W793" s="5">
        <v>27.64</v>
      </c>
    </row>
    <row r="794" spans="1:23" ht="15" x14ac:dyDescent="0.2">
      <c r="A794" t="s">
        <v>1009</v>
      </c>
      <c r="B794" s="1">
        <f>45925</f>
        <v>45925</v>
      </c>
      <c r="C794" t="s">
        <v>0</v>
      </c>
      <c r="D794">
        <v>108108</v>
      </c>
      <c r="E794" s="2">
        <v>25004797</v>
      </c>
      <c r="F794" s="2">
        <v>3</v>
      </c>
      <c r="G794" t="s">
        <v>1350</v>
      </c>
      <c r="H794" t="s">
        <v>1032</v>
      </c>
      <c r="I794" t="s">
        <v>1841</v>
      </c>
      <c r="J794" t="s">
        <v>1325</v>
      </c>
      <c r="K794" s="3">
        <v>1</v>
      </c>
      <c r="L794" s="4">
        <v>6</v>
      </c>
      <c r="O794" t="s">
        <v>2</v>
      </c>
      <c r="P794" t="s">
        <v>879</v>
      </c>
      <c r="Q794" s="2">
        <v>0</v>
      </c>
      <c r="R794" s="5">
        <v>6</v>
      </c>
      <c r="S794" s="5">
        <v>0</v>
      </c>
      <c r="T794" s="2">
        <v>6</v>
      </c>
      <c r="U794" t="s">
        <v>3</v>
      </c>
      <c r="V794" t="s">
        <v>191</v>
      </c>
      <c r="W794" s="5">
        <v>27.64</v>
      </c>
    </row>
    <row r="795" spans="1:23" ht="15" x14ac:dyDescent="0.2">
      <c r="A795" t="s">
        <v>1009</v>
      </c>
      <c r="B795" s="1">
        <f>45925</f>
        <v>45925</v>
      </c>
      <c r="C795" t="s">
        <v>0</v>
      </c>
      <c r="D795">
        <v>108108</v>
      </c>
      <c r="E795" s="2">
        <v>25004798</v>
      </c>
      <c r="F795" s="2">
        <v>1</v>
      </c>
      <c r="G795" t="s">
        <v>1336</v>
      </c>
      <c r="H795" t="s">
        <v>1018</v>
      </c>
      <c r="I795" t="s">
        <v>1892</v>
      </c>
      <c r="J795" t="s">
        <v>1325</v>
      </c>
      <c r="K795" s="3">
        <v>1</v>
      </c>
      <c r="L795" s="4">
        <v>23.9</v>
      </c>
      <c r="O795" t="s">
        <v>2</v>
      </c>
      <c r="P795" t="s">
        <v>880</v>
      </c>
      <c r="Q795" s="2">
        <v>0</v>
      </c>
      <c r="R795" s="5">
        <v>23.9</v>
      </c>
      <c r="S795" s="5">
        <v>0</v>
      </c>
      <c r="T795" s="2">
        <v>24</v>
      </c>
      <c r="U795" t="s">
        <v>3</v>
      </c>
      <c r="V795" t="s">
        <v>238</v>
      </c>
      <c r="W795" s="5">
        <v>20.079999999999998</v>
      </c>
    </row>
    <row r="796" spans="1:23" ht="15" x14ac:dyDescent="0.2">
      <c r="A796" t="s">
        <v>1009</v>
      </c>
      <c r="B796" s="1">
        <f>45925</f>
        <v>45925</v>
      </c>
      <c r="C796" t="s">
        <v>0</v>
      </c>
      <c r="D796">
        <v>108108</v>
      </c>
      <c r="E796" s="2">
        <v>25004799</v>
      </c>
      <c r="F796" s="2">
        <v>1</v>
      </c>
      <c r="G796" t="s">
        <v>1414</v>
      </c>
      <c r="H796" t="s">
        <v>1096</v>
      </c>
      <c r="I796" t="s">
        <v>1957</v>
      </c>
      <c r="J796" t="s">
        <v>1323</v>
      </c>
      <c r="K796" s="3">
        <v>1</v>
      </c>
      <c r="L796" s="4">
        <v>22.9</v>
      </c>
      <c r="O796" t="s">
        <v>2</v>
      </c>
      <c r="P796" t="s">
        <v>881</v>
      </c>
      <c r="Q796" s="2">
        <v>0</v>
      </c>
      <c r="R796" s="5">
        <v>22.9</v>
      </c>
      <c r="S796" s="5">
        <v>0</v>
      </c>
      <c r="T796" s="2">
        <v>23</v>
      </c>
      <c r="U796" t="s">
        <v>3</v>
      </c>
      <c r="V796" t="s">
        <v>300</v>
      </c>
      <c r="W796" s="5">
        <v>19.239999999999998</v>
      </c>
    </row>
    <row r="797" spans="1:23" ht="15" x14ac:dyDescent="0.2">
      <c r="A797" t="s">
        <v>1009</v>
      </c>
      <c r="B797" s="1">
        <f>45925</f>
        <v>45925</v>
      </c>
      <c r="C797" t="s">
        <v>0</v>
      </c>
      <c r="D797">
        <v>108108</v>
      </c>
      <c r="E797" s="2">
        <v>25004800</v>
      </c>
      <c r="F797" s="2">
        <v>1</v>
      </c>
      <c r="G797" t="s">
        <v>1351</v>
      </c>
      <c r="H797" t="s">
        <v>1033</v>
      </c>
      <c r="I797" t="s">
        <v>1775</v>
      </c>
      <c r="J797" t="s">
        <v>1325</v>
      </c>
      <c r="K797" s="3">
        <v>1</v>
      </c>
      <c r="L797" s="4">
        <v>21.9</v>
      </c>
      <c r="O797" t="s">
        <v>2</v>
      </c>
      <c r="P797" t="s">
        <v>882</v>
      </c>
      <c r="Q797" s="2">
        <v>0</v>
      </c>
      <c r="R797" s="5">
        <v>21.9</v>
      </c>
      <c r="S797" s="5">
        <v>0</v>
      </c>
      <c r="T797" s="2">
        <v>22</v>
      </c>
      <c r="U797" t="s">
        <v>3</v>
      </c>
      <c r="V797" t="s">
        <v>128</v>
      </c>
      <c r="W797" s="5">
        <v>18.399999999999999</v>
      </c>
    </row>
    <row r="798" spans="1:23" ht="15" x14ac:dyDescent="0.2">
      <c r="A798" t="s">
        <v>1009</v>
      </c>
      <c r="B798" s="1">
        <f>45925</f>
        <v>45925</v>
      </c>
      <c r="C798" t="s">
        <v>0</v>
      </c>
      <c r="D798">
        <v>108108</v>
      </c>
      <c r="E798" s="2">
        <v>25004801</v>
      </c>
      <c r="F798" s="2">
        <v>1</v>
      </c>
      <c r="G798" t="s">
        <v>1391</v>
      </c>
      <c r="H798" t="s">
        <v>1073</v>
      </c>
      <c r="I798" t="s">
        <v>1958</v>
      </c>
      <c r="J798" t="s">
        <v>1325</v>
      </c>
      <c r="K798" s="3">
        <v>1</v>
      </c>
      <c r="L798" s="4">
        <v>22.9</v>
      </c>
      <c r="O798" t="s">
        <v>2</v>
      </c>
      <c r="P798" t="s">
        <v>883</v>
      </c>
      <c r="Q798" s="2">
        <v>0</v>
      </c>
      <c r="R798" s="5">
        <v>22.9</v>
      </c>
      <c r="S798" s="5">
        <v>0</v>
      </c>
      <c r="T798" s="2">
        <v>23</v>
      </c>
      <c r="U798" t="s">
        <v>3</v>
      </c>
      <c r="V798" t="s">
        <v>49</v>
      </c>
      <c r="W798" s="5">
        <v>19.239999999999998</v>
      </c>
    </row>
    <row r="799" spans="1:23" ht="15" x14ac:dyDescent="0.2">
      <c r="A799" t="s">
        <v>1009</v>
      </c>
      <c r="B799" s="1">
        <f>45925</f>
        <v>45925</v>
      </c>
      <c r="C799" t="s">
        <v>0</v>
      </c>
      <c r="D799">
        <v>108108</v>
      </c>
      <c r="E799" s="2">
        <v>25004802</v>
      </c>
      <c r="F799" s="2">
        <v>1</v>
      </c>
      <c r="G799" t="s">
        <v>1387</v>
      </c>
      <c r="H799" t="s">
        <v>1069</v>
      </c>
      <c r="I799" t="s">
        <v>1942</v>
      </c>
      <c r="J799" t="s">
        <v>1323</v>
      </c>
      <c r="K799" s="3">
        <v>1</v>
      </c>
      <c r="L799" s="4">
        <v>26.9</v>
      </c>
      <c r="O799" t="s">
        <v>2</v>
      </c>
      <c r="P799" t="s">
        <v>884</v>
      </c>
      <c r="Q799" s="2">
        <v>0</v>
      </c>
      <c r="R799" s="5">
        <v>26.9</v>
      </c>
      <c r="S799" s="5">
        <v>0</v>
      </c>
      <c r="T799" s="2">
        <v>27</v>
      </c>
      <c r="U799" t="s">
        <v>3</v>
      </c>
      <c r="V799" t="s">
        <v>287</v>
      </c>
      <c r="W799" s="5">
        <v>22.61</v>
      </c>
    </row>
    <row r="800" spans="1:23" ht="15" x14ac:dyDescent="0.2">
      <c r="A800" t="s">
        <v>1009</v>
      </c>
      <c r="B800" s="1">
        <f>45925</f>
        <v>45925</v>
      </c>
      <c r="C800" t="s">
        <v>0</v>
      </c>
      <c r="D800">
        <v>108108</v>
      </c>
      <c r="E800" s="2">
        <v>25004803</v>
      </c>
      <c r="F800" s="2">
        <v>1</v>
      </c>
      <c r="G800" t="s">
        <v>1344</v>
      </c>
      <c r="H800" t="s">
        <v>1026</v>
      </c>
      <c r="I800" t="s">
        <v>1959</v>
      </c>
      <c r="J800" t="s">
        <v>1323</v>
      </c>
      <c r="K800" s="3">
        <v>1</v>
      </c>
      <c r="L800" s="4">
        <v>27.9</v>
      </c>
      <c r="O800" t="s">
        <v>2</v>
      </c>
      <c r="P800" t="s">
        <v>885</v>
      </c>
      <c r="Q800" s="2">
        <v>0</v>
      </c>
      <c r="R800" s="5">
        <v>27.9</v>
      </c>
      <c r="S800" s="5">
        <v>0</v>
      </c>
      <c r="T800" s="2">
        <v>28</v>
      </c>
      <c r="U800" t="s">
        <v>3</v>
      </c>
      <c r="V800" t="s">
        <v>301</v>
      </c>
      <c r="W800" s="5">
        <v>48.58</v>
      </c>
    </row>
    <row r="801" spans="1:23" ht="15" x14ac:dyDescent="0.2">
      <c r="A801" t="s">
        <v>1009</v>
      </c>
      <c r="B801" s="1">
        <f>45925</f>
        <v>45925</v>
      </c>
      <c r="C801" t="s">
        <v>0</v>
      </c>
      <c r="D801">
        <v>108108</v>
      </c>
      <c r="E801" s="2">
        <v>25004803</v>
      </c>
      <c r="F801" s="2">
        <v>2</v>
      </c>
      <c r="G801" t="s">
        <v>1618</v>
      </c>
      <c r="H801" t="s">
        <v>1046</v>
      </c>
      <c r="I801" t="s">
        <v>1959</v>
      </c>
      <c r="J801" t="s">
        <v>1323</v>
      </c>
      <c r="K801" s="3">
        <v>1</v>
      </c>
      <c r="L801" s="4">
        <v>29.9</v>
      </c>
      <c r="O801" t="s">
        <v>2</v>
      </c>
      <c r="P801" t="s">
        <v>885</v>
      </c>
      <c r="Q801" s="2">
        <v>0</v>
      </c>
      <c r="R801" s="5">
        <v>29.9</v>
      </c>
      <c r="S801" s="5">
        <v>0</v>
      </c>
      <c r="T801" s="2">
        <v>30</v>
      </c>
      <c r="U801" t="s">
        <v>3</v>
      </c>
      <c r="V801" t="s">
        <v>301</v>
      </c>
      <c r="W801" s="5">
        <v>48.58</v>
      </c>
    </row>
    <row r="802" spans="1:23" ht="15" x14ac:dyDescent="0.2">
      <c r="A802" t="s">
        <v>1009</v>
      </c>
      <c r="B802" s="1">
        <f>45925</f>
        <v>45925</v>
      </c>
      <c r="C802" t="s">
        <v>0</v>
      </c>
      <c r="D802">
        <v>108108</v>
      </c>
      <c r="E802" s="2">
        <v>25004804</v>
      </c>
      <c r="F802" s="2">
        <v>1</v>
      </c>
      <c r="G802" t="s">
        <v>1352</v>
      </c>
      <c r="H802" t="s">
        <v>1034</v>
      </c>
      <c r="I802" t="s">
        <v>1960</v>
      </c>
      <c r="J802" t="s">
        <v>1323</v>
      </c>
      <c r="K802" s="3">
        <v>1</v>
      </c>
      <c r="L802" s="4">
        <v>9.9</v>
      </c>
      <c r="O802" t="s">
        <v>2</v>
      </c>
      <c r="P802" t="s">
        <v>886</v>
      </c>
      <c r="Q802" s="2">
        <v>0</v>
      </c>
      <c r="R802" s="5">
        <v>9.9</v>
      </c>
      <c r="S802" s="5">
        <v>0</v>
      </c>
      <c r="T802" s="2">
        <v>10</v>
      </c>
      <c r="U802" t="s">
        <v>3</v>
      </c>
      <c r="V802" t="s">
        <v>302</v>
      </c>
      <c r="W802" s="5">
        <v>8.32</v>
      </c>
    </row>
    <row r="803" spans="1:23" ht="15" x14ac:dyDescent="0.2">
      <c r="A803" t="s">
        <v>1009</v>
      </c>
      <c r="B803" s="1">
        <f>45925</f>
        <v>45925</v>
      </c>
      <c r="C803" t="s">
        <v>0</v>
      </c>
      <c r="D803">
        <v>108108</v>
      </c>
      <c r="E803" s="2">
        <v>25004805</v>
      </c>
      <c r="F803" s="2">
        <v>1</v>
      </c>
      <c r="G803" t="s">
        <v>1330</v>
      </c>
      <c r="H803" t="s">
        <v>1013</v>
      </c>
      <c r="I803" t="s">
        <v>1961</v>
      </c>
      <c r="J803" t="s">
        <v>1325</v>
      </c>
      <c r="K803" s="3">
        <v>1</v>
      </c>
      <c r="L803" s="4">
        <v>21.9</v>
      </c>
      <c r="O803" t="s">
        <v>2</v>
      </c>
      <c r="P803" t="s">
        <v>887</v>
      </c>
      <c r="Q803" s="2">
        <v>0</v>
      </c>
      <c r="R803" s="5">
        <v>21.9</v>
      </c>
      <c r="S803" s="5">
        <v>0</v>
      </c>
      <c r="T803" s="2">
        <v>22</v>
      </c>
      <c r="U803" t="s">
        <v>3</v>
      </c>
      <c r="V803" t="s">
        <v>303</v>
      </c>
      <c r="W803" s="5">
        <v>18.399999999999999</v>
      </c>
    </row>
    <row r="804" spans="1:23" ht="15" x14ac:dyDescent="0.2">
      <c r="A804" t="s">
        <v>1009</v>
      </c>
      <c r="B804" s="1">
        <f>45925</f>
        <v>45925</v>
      </c>
      <c r="C804" t="s">
        <v>0</v>
      </c>
      <c r="D804">
        <v>108108</v>
      </c>
      <c r="E804" s="2">
        <v>25004806</v>
      </c>
      <c r="F804" s="2">
        <v>1</v>
      </c>
      <c r="G804" t="s">
        <v>1591</v>
      </c>
      <c r="H804" t="s">
        <v>1269</v>
      </c>
      <c r="I804" t="s">
        <v>1962</v>
      </c>
      <c r="J804" t="s">
        <v>1323</v>
      </c>
      <c r="K804" s="3">
        <v>1</v>
      </c>
      <c r="L804" s="4">
        <v>18.899999999999999</v>
      </c>
      <c r="O804" t="s">
        <v>2</v>
      </c>
      <c r="P804" t="s">
        <v>888</v>
      </c>
      <c r="Q804" s="2">
        <v>0</v>
      </c>
      <c r="R804" s="5">
        <v>18.899999999999999</v>
      </c>
      <c r="S804" s="5">
        <v>0</v>
      </c>
      <c r="T804" s="2">
        <v>19</v>
      </c>
      <c r="U804" t="s">
        <v>3</v>
      </c>
      <c r="V804" t="s">
        <v>304</v>
      </c>
      <c r="W804" s="5">
        <v>20.92</v>
      </c>
    </row>
    <row r="805" spans="1:23" ht="15" x14ac:dyDescent="0.2">
      <c r="A805" t="s">
        <v>1009</v>
      </c>
      <c r="B805" s="1">
        <f>45925</f>
        <v>45925</v>
      </c>
      <c r="C805" t="s">
        <v>0</v>
      </c>
      <c r="D805">
        <v>108108</v>
      </c>
      <c r="E805" s="2">
        <v>25004806</v>
      </c>
      <c r="F805" s="2">
        <v>2</v>
      </c>
      <c r="G805" t="s">
        <v>1619</v>
      </c>
      <c r="H805" t="s">
        <v>1296</v>
      </c>
      <c r="I805" t="s">
        <v>1962</v>
      </c>
      <c r="J805" t="s">
        <v>1323</v>
      </c>
      <c r="K805" s="3">
        <v>1</v>
      </c>
      <c r="L805" s="4">
        <v>6</v>
      </c>
      <c r="O805" t="s">
        <v>2</v>
      </c>
      <c r="P805" t="s">
        <v>888</v>
      </c>
      <c r="Q805" s="2">
        <v>0</v>
      </c>
      <c r="R805" s="5">
        <v>6</v>
      </c>
      <c r="S805" s="5">
        <v>0</v>
      </c>
      <c r="T805" s="2">
        <v>6</v>
      </c>
      <c r="U805" t="s">
        <v>3</v>
      </c>
      <c r="V805" t="s">
        <v>304</v>
      </c>
      <c r="W805" s="5">
        <v>20.92</v>
      </c>
    </row>
    <row r="806" spans="1:23" ht="15" x14ac:dyDescent="0.2">
      <c r="A806" t="s">
        <v>1009</v>
      </c>
      <c r="B806" s="1">
        <f>45925</f>
        <v>45925</v>
      </c>
      <c r="C806" t="s">
        <v>0</v>
      </c>
      <c r="D806">
        <v>108108</v>
      </c>
      <c r="E806" s="2">
        <v>25004807</v>
      </c>
      <c r="F806" s="2">
        <v>1</v>
      </c>
      <c r="G806" t="s">
        <v>1393</v>
      </c>
      <c r="H806" t="s">
        <v>1075</v>
      </c>
      <c r="I806" t="s">
        <v>1960</v>
      </c>
      <c r="J806" t="s">
        <v>1323</v>
      </c>
      <c r="K806" s="3">
        <v>1</v>
      </c>
      <c r="L806" s="4">
        <v>33</v>
      </c>
      <c r="O806" t="s">
        <v>2</v>
      </c>
      <c r="P806" t="s">
        <v>889</v>
      </c>
      <c r="Q806" s="2">
        <v>0</v>
      </c>
      <c r="R806" s="5">
        <v>33</v>
      </c>
      <c r="S806" s="5">
        <v>0</v>
      </c>
      <c r="T806" s="2">
        <v>33</v>
      </c>
      <c r="U806" t="s">
        <v>3</v>
      </c>
      <c r="V806" t="s">
        <v>302</v>
      </c>
      <c r="W806" s="5">
        <v>50.42</v>
      </c>
    </row>
    <row r="807" spans="1:23" ht="15" x14ac:dyDescent="0.2">
      <c r="A807" t="s">
        <v>1009</v>
      </c>
      <c r="B807" s="1">
        <f>45925</f>
        <v>45925</v>
      </c>
      <c r="C807" t="s">
        <v>0</v>
      </c>
      <c r="D807">
        <v>108108</v>
      </c>
      <c r="E807" s="2">
        <v>25004807</v>
      </c>
      <c r="F807" s="2">
        <v>2</v>
      </c>
      <c r="G807" t="s">
        <v>1345</v>
      </c>
      <c r="H807" t="s">
        <v>1027</v>
      </c>
      <c r="I807" t="s">
        <v>1960</v>
      </c>
      <c r="J807" t="s">
        <v>1323</v>
      </c>
      <c r="K807" s="3">
        <v>1</v>
      </c>
      <c r="L807" s="4">
        <v>27</v>
      </c>
      <c r="O807" t="s">
        <v>2</v>
      </c>
      <c r="P807" t="s">
        <v>889</v>
      </c>
      <c r="Q807" s="2">
        <v>0</v>
      </c>
      <c r="R807" s="5">
        <v>27</v>
      </c>
      <c r="S807" s="5">
        <v>0</v>
      </c>
      <c r="T807" s="2">
        <v>27</v>
      </c>
      <c r="U807" t="s">
        <v>3</v>
      </c>
      <c r="V807" t="s">
        <v>302</v>
      </c>
      <c r="W807" s="5">
        <v>50.42</v>
      </c>
    </row>
    <row r="808" spans="1:23" ht="15" x14ac:dyDescent="0.2">
      <c r="A808" t="s">
        <v>1009</v>
      </c>
      <c r="B808" s="1">
        <f>45925</f>
        <v>45925</v>
      </c>
      <c r="C808" t="s">
        <v>0</v>
      </c>
      <c r="D808">
        <v>108108</v>
      </c>
      <c r="E808" s="2">
        <v>25004808</v>
      </c>
      <c r="F808" s="2">
        <v>1</v>
      </c>
      <c r="G808" t="s">
        <v>1392</v>
      </c>
      <c r="H808" t="s">
        <v>1074</v>
      </c>
      <c r="I808" t="s">
        <v>1963</v>
      </c>
      <c r="J808" t="s">
        <v>1324</v>
      </c>
      <c r="K808" s="3">
        <v>1</v>
      </c>
      <c r="L808" s="4">
        <v>28.9</v>
      </c>
      <c r="O808" t="s">
        <v>2</v>
      </c>
      <c r="P808" t="s">
        <v>890</v>
      </c>
      <c r="Q808" s="2">
        <v>0</v>
      </c>
      <c r="R808" s="5">
        <v>28.9</v>
      </c>
      <c r="S808" s="5">
        <v>0</v>
      </c>
      <c r="T808" s="2">
        <v>29</v>
      </c>
      <c r="U808" t="s">
        <v>3</v>
      </c>
      <c r="V808" t="s">
        <v>305</v>
      </c>
      <c r="W808" s="5">
        <v>24.29</v>
      </c>
    </row>
    <row r="809" spans="1:23" ht="15" x14ac:dyDescent="0.2">
      <c r="A809" t="s">
        <v>1009</v>
      </c>
      <c r="B809" s="1">
        <f>45925</f>
        <v>45925</v>
      </c>
      <c r="C809" t="s">
        <v>0</v>
      </c>
      <c r="D809">
        <v>108108</v>
      </c>
      <c r="E809" s="2">
        <v>25004809</v>
      </c>
      <c r="F809" s="2">
        <v>1</v>
      </c>
      <c r="G809" t="s">
        <v>1620</v>
      </c>
      <c r="H809" t="s">
        <v>1297</v>
      </c>
      <c r="I809" t="s">
        <v>1964</v>
      </c>
      <c r="J809" t="s">
        <v>1324</v>
      </c>
      <c r="K809" s="3">
        <v>1</v>
      </c>
      <c r="L809" s="4">
        <v>145</v>
      </c>
      <c r="O809" t="s">
        <v>2</v>
      </c>
      <c r="P809" t="s">
        <v>891</v>
      </c>
      <c r="Q809" s="2">
        <v>0</v>
      </c>
      <c r="R809" s="5">
        <v>145</v>
      </c>
      <c r="S809" s="5">
        <v>0</v>
      </c>
      <c r="T809" s="2">
        <v>145</v>
      </c>
      <c r="U809" t="s">
        <v>3</v>
      </c>
      <c r="V809" t="s">
        <v>306</v>
      </c>
      <c r="W809" s="5">
        <v>121.85</v>
      </c>
    </row>
    <row r="810" spans="1:23" ht="15" x14ac:dyDescent="0.2">
      <c r="A810" t="s">
        <v>1009</v>
      </c>
      <c r="B810" s="1">
        <f>45925</f>
        <v>45925</v>
      </c>
      <c r="C810" t="s">
        <v>0</v>
      </c>
      <c r="D810">
        <v>108108</v>
      </c>
      <c r="E810" s="2">
        <v>25004810</v>
      </c>
      <c r="F810" s="2">
        <v>1</v>
      </c>
      <c r="G810" t="s">
        <v>1621</v>
      </c>
      <c r="H810" t="s">
        <v>1298</v>
      </c>
      <c r="I810" t="s">
        <v>1647</v>
      </c>
      <c r="J810" t="s">
        <v>1324</v>
      </c>
      <c r="K810" s="3">
        <v>1</v>
      </c>
      <c r="L810" s="4">
        <v>22.9</v>
      </c>
      <c r="O810" t="s">
        <v>2</v>
      </c>
      <c r="P810" t="s">
        <v>892</v>
      </c>
      <c r="Q810" s="2">
        <v>0</v>
      </c>
      <c r="R810" s="5">
        <v>22.9</v>
      </c>
      <c r="S810" s="5">
        <v>0</v>
      </c>
      <c r="T810" s="2">
        <v>23</v>
      </c>
      <c r="U810" t="s">
        <v>3</v>
      </c>
      <c r="V810" t="s">
        <v>1322</v>
      </c>
      <c r="W810" s="5">
        <v>23.44</v>
      </c>
    </row>
    <row r="811" spans="1:23" ht="15" x14ac:dyDescent="0.2">
      <c r="A811" t="s">
        <v>1009</v>
      </c>
      <c r="B811" s="1">
        <f>45925</f>
        <v>45925</v>
      </c>
      <c r="C811" t="s">
        <v>0</v>
      </c>
      <c r="D811">
        <v>108108</v>
      </c>
      <c r="E811" s="2">
        <v>25004810</v>
      </c>
      <c r="F811" s="2">
        <v>2</v>
      </c>
      <c r="G811" t="s">
        <v>1332</v>
      </c>
      <c r="H811" t="s">
        <v>362</v>
      </c>
      <c r="I811" t="s">
        <v>1647</v>
      </c>
      <c r="J811" t="s">
        <v>1324</v>
      </c>
      <c r="K811" s="3">
        <v>1</v>
      </c>
      <c r="L811" s="4">
        <v>5</v>
      </c>
      <c r="O811" t="s">
        <v>2</v>
      </c>
      <c r="P811" t="s">
        <v>892</v>
      </c>
      <c r="Q811" s="2">
        <v>0</v>
      </c>
      <c r="R811" s="5">
        <v>5</v>
      </c>
      <c r="S811" s="5">
        <v>0</v>
      </c>
      <c r="T811" s="2">
        <v>5</v>
      </c>
      <c r="U811" t="s">
        <v>3</v>
      </c>
      <c r="V811" t="s">
        <v>1322</v>
      </c>
      <c r="W811" s="5">
        <v>23.44</v>
      </c>
    </row>
    <row r="812" spans="1:23" ht="15" x14ac:dyDescent="0.2">
      <c r="A812" t="s">
        <v>1009</v>
      </c>
      <c r="B812" s="1">
        <f>45925</f>
        <v>45925</v>
      </c>
      <c r="C812" t="s">
        <v>0</v>
      </c>
      <c r="D812">
        <v>108108</v>
      </c>
      <c r="E812" s="2">
        <v>25004811</v>
      </c>
      <c r="F812" s="2">
        <v>1</v>
      </c>
      <c r="G812" t="s">
        <v>1332</v>
      </c>
      <c r="H812" t="s">
        <v>362</v>
      </c>
      <c r="I812" t="s">
        <v>1953</v>
      </c>
      <c r="J812" t="s">
        <v>1324</v>
      </c>
      <c r="K812" s="3">
        <v>1</v>
      </c>
      <c r="L812" s="4">
        <v>5</v>
      </c>
      <c r="O812" t="s">
        <v>2</v>
      </c>
      <c r="P812" t="s">
        <v>893</v>
      </c>
      <c r="Q812" s="2">
        <v>0</v>
      </c>
      <c r="R812" s="5">
        <v>5</v>
      </c>
      <c r="S812" s="5">
        <v>0</v>
      </c>
      <c r="T812" s="2">
        <v>5</v>
      </c>
      <c r="U812" t="s">
        <v>3</v>
      </c>
      <c r="V812" t="s">
        <v>296</v>
      </c>
      <c r="W812" s="5">
        <v>23.44</v>
      </c>
    </row>
    <row r="813" spans="1:23" ht="15" x14ac:dyDescent="0.2">
      <c r="A813" t="s">
        <v>1009</v>
      </c>
      <c r="B813" s="1">
        <f>45925</f>
        <v>45925</v>
      </c>
      <c r="C813" t="s">
        <v>0</v>
      </c>
      <c r="D813">
        <v>108108</v>
      </c>
      <c r="E813" s="2">
        <v>25004811</v>
      </c>
      <c r="F813" s="2">
        <v>2</v>
      </c>
      <c r="G813" t="s">
        <v>1621</v>
      </c>
      <c r="H813" t="s">
        <v>1298</v>
      </c>
      <c r="I813" t="s">
        <v>1953</v>
      </c>
      <c r="J813" t="s">
        <v>1324</v>
      </c>
      <c r="K813" s="3">
        <v>1</v>
      </c>
      <c r="L813" s="4">
        <v>22.9</v>
      </c>
      <c r="O813" t="s">
        <v>2</v>
      </c>
      <c r="P813" t="s">
        <v>893</v>
      </c>
      <c r="Q813" s="2">
        <v>0</v>
      </c>
      <c r="R813" s="5">
        <v>22.9</v>
      </c>
      <c r="S813" s="5">
        <v>0</v>
      </c>
      <c r="T813" s="2">
        <v>23</v>
      </c>
      <c r="U813" t="s">
        <v>3</v>
      </c>
      <c r="V813" t="s">
        <v>296</v>
      </c>
      <c r="W813" s="5">
        <v>23.44</v>
      </c>
    </row>
    <row r="814" spans="1:23" ht="15" x14ac:dyDescent="0.2">
      <c r="A814" t="s">
        <v>1009</v>
      </c>
      <c r="B814" s="1">
        <f>45925</f>
        <v>45925</v>
      </c>
      <c r="C814" t="s">
        <v>0</v>
      </c>
      <c r="D814">
        <v>108108</v>
      </c>
      <c r="E814" s="2">
        <v>25004812</v>
      </c>
      <c r="F814" s="2">
        <v>1</v>
      </c>
      <c r="G814" t="s">
        <v>1334</v>
      </c>
      <c r="H814" t="s">
        <v>1016</v>
      </c>
      <c r="I814" t="s">
        <v>1944</v>
      </c>
      <c r="J814" t="s">
        <v>1324</v>
      </c>
      <c r="K814" s="3">
        <v>1</v>
      </c>
      <c r="L814" s="4">
        <v>21.9</v>
      </c>
      <c r="O814" t="s">
        <v>2</v>
      </c>
      <c r="P814" t="s">
        <v>894</v>
      </c>
      <c r="Q814" s="2">
        <v>0</v>
      </c>
      <c r="R814" s="5">
        <v>21.9</v>
      </c>
      <c r="S814" s="5">
        <v>0</v>
      </c>
      <c r="T814" s="2">
        <v>22</v>
      </c>
      <c r="U814" t="s">
        <v>3</v>
      </c>
      <c r="V814" t="s">
        <v>289</v>
      </c>
      <c r="W814" s="5">
        <v>41</v>
      </c>
    </row>
    <row r="815" spans="1:23" ht="15" x14ac:dyDescent="0.2">
      <c r="A815" t="s">
        <v>1009</v>
      </c>
      <c r="B815" s="1">
        <f>45925</f>
        <v>45925</v>
      </c>
      <c r="C815" t="s">
        <v>0</v>
      </c>
      <c r="D815">
        <v>108108</v>
      </c>
      <c r="E815" s="2">
        <v>25004812</v>
      </c>
      <c r="F815" s="2">
        <v>2</v>
      </c>
      <c r="G815" t="s">
        <v>1342</v>
      </c>
      <c r="H815" t="s">
        <v>1024</v>
      </c>
      <c r="I815" t="s">
        <v>1944</v>
      </c>
      <c r="J815" t="s">
        <v>1324</v>
      </c>
      <c r="K815" s="3">
        <v>1</v>
      </c>
      <c r="L815" s="4">
        <v>21.9</v>
      </c>
      <c r="O815" t="s">
        <v>2</v>
      </c>
      <c r="P815" t="s">
        <v>894</v>
      </c>
      <c r="Q815" s="2">
        <v>0</v>
      </c>
      <c r="R815" s="5">
        <v>21.9</v>
      </c>
      <c r="S815" s="5">
        <v>0</v>
      </c>
      <c r="T815" s="2">
        <v>22</v>
      </c>
      <c r="U815" t="s">
        <v>3</v>
      </c>
      <c r="V815" t="s">
        <v>289</v>
      </c>
      <c r="W815" s="5">
        <v>41</v>
      </c>
    </row>
    <row r="816" spans="1:23" ht="15" x14ac:dyDescent="0.2">
      <c r="A816" t="s">
        <v>1009</v>
      </c>
      <c r="B816" s="1">
        <f>45925</f>
        <v>45925</v>
      </c>
      <c r="C816" t="s">
        <v>0</v>
      </c>
      <c r="D816">
        <v>108108</v>
      </c>
      <c r="E816" s="2">
        <v>25004812</v>
      </c>
      <c r="F816" s="2">
        <v>3</v>
      </c>
      <c r="G816" t="s">
        <v>1332</v>
      </c>
      <c r="H816" t="s">
        <v>362</v>
      </c>
      <c r="I816" t="s">
        <v>1944</v>
      </c>
      <c r="J816" t="s">
        <v>1324</v>
      </c>
      <c r="K816" s="3">
        <v>1</v>
      </c>
      <c r="L816" s="4">
        <v>5</v>
      </c>
      <c r="O816" t="s">
        <v>2</v>
      </c>
      <c r="P816" t="s">
        <v>894</v>
      </c>
      <c r="Q816" s="2">
        <v>0</v>
      </c>
      <c r="R816" s="5">
        <v>5</v>
      </c>
      <c r="S816" s="5">
        <v>0</v>
      </c>
      <c r="T816" s="2">
        <v>5</v>
      </c>
      <c r="U816" t="s">
        <v>3</v>
      </c>
      <c r="V816" t="s">
        <v>289</v>
      </c>
      <c r="W816" s="5">
        <v>41</v>
      </c>
    </row>
    <row r="817" spans="1:23" ht="15" x14ac:dyDescent="0.2">
      <c r="A817" t="s">
        <v>1009</v>
      </c>
      <c r="B817" s="1">
        <f>45925</f>
        <v>45925</v>
      </c>
      <c r="C817" t="s">
        <v>0</v>
      </c>
      <c r="D817">
        <v>108108</v>
      </c>
      <c r="E817" s="2">
        <v>25004813</v>
      </c>
      <c r="F817" s="2">
        <v>1</v>
      </c>
      <c r="G817" t="s">
        <v>1622</v>
      </c>
      <c r="H817" t="s">
        <v>1299</v>
      </c>
      <c r="I817" t="s">
        <v>1965</v>
      </c>
      <c r="J817" t="s">
        <v>1324</v>
      </c>
      <c r="K817" s="3">
        <v>1</v>
      </c>
      <c r="L817" s="4">
        <v>21.9</v>
      </c>
      <c r="O817" t="s">
        <v>2</v>
      </c>
      <c r="P817" t="s">
        <v>895</v>
      </c>
      <c r="Q817" s="2">
        <v>0</v>
      </c>
      <c r="R817" s="5">
        <v>21.9</v>
      </c>
      <c r="S817" s="5">
        <v>0</v>
      </c>
      <c r="T817" s="2">
        <v>22</v>
      </c>
      <c r="U817" t="s">
        <v>3</v>
      </c>
      <c r="V817" t="s">
        <v>307</v>
      </c>
      <c r="W817" s="5">
        <v>18.399999999999999</v>
      </c>
    </row>
    <row r="818" spans="1:23" ht="15" x14ac:dyDescent="0.2">
      <c r="A818" t="s">
        <v>1009</v>
      </c>
      <c r="B818" s="1">
        <f>45925</f>
        <v>45925</v>
      </c>
      <c r="C818" t="s">
        <v>0</v>
      </c>
      <c r="D818">
        <v>108108</v>
      </c>
      <c r="E818" s="2">
        <v>25004814</v>
      </c>
      <c r="F818" s="2">
        <v>1</v>
      </c>
      <c r="G818" t="s">
        <v>1440</v>
      </c>
      <c r="H818" t="s">
        <v>1122</v>
      </c>
      <c r="I818" t="s">
        <v>1959</v>
      </c>
      <c r="J818" t="s">
        <v>1324</v>
      </c>
      <c r="K818" s="3">
        <v>1</v>
      </c>
      <c r="L818" s="4">
        <v>16.899999999999999</v>
      </c>
      <c r="O818" t="s">
        <v>2</v>
      </c>
      <c r="P818" t="s">
        <v>896</v>
      </c>
      <c r="Q818" s="2">
        <v>0</v>
      </c>
      <c r="R818" s="5">
        <v>16.899999999999999</v>
      </c>
      <c r="S818" s="5">
        <v>0</v>
      </c>
      <c r="T818" s="2">
        <v>17</v>
      </c>
      <c r="U818" t="s">
        <v>3</v>
      </c>
      <c r="V818" t="s">
        <v>301</v>
      </c>
      <c r="W818" s="5">
        <v>14.2</v>
      </c>
    </row>
    <row r="819" spans="1:23" ht="15" x14ac:dyDescent="0.2">
      <c r="A819" t="s">
        <v>1009</v>
      </c>
      <c r="B819" s="1">
        <f>45925</f>
        <v>45925</v>
      </c>
      <c r="C819" t="s">
        <v>0</v>
      </c>
      <c r="D819">
        <v>108108</v>
      </c>
      <c r="E819" s="2">
        <v>25004815</v>
      </c>
      <c r="F819" s="2">
        <v>1</v>
      </c>
      <c r="G819" t="s">
        <v>1623</v>
      </c>
      <c r="H819" t="s">
        <v>1300</v>
      </c>
      <c r="I819" t="s">
        <v>1647</v>
      </c>
      <c r="J819" t="s">
        <v>1324</v>
      </c>
      <c r="K819" s="3">
        <v>1</v>
      </c>
      <c r="L819" s="4">
        <v>23.9</v>
      </c>
      <c r="O819" t="s">
        <v>2</v>
      </c>
      <c r="P819" t="s">
        <v>897</v>
      </c>
      <c r="Q819" s="2">
        <v>0</v>
      </c>
      <c r="R819" s="5">
        <v>23.9</v>
      </c>
      <c r="S819" s="5">
        <v>0</v>
      </c>
      <c r="T819" s="2">
        <v>24</v>
      </c>
      <c r="U819" t="s">
        <v>3</v>
      </c>
      <c r="V819" t="s">
        <v>1322</v>
      </c>
      <c r="W819" s="5">
        <v>20.079999999999998</v>
      </c>
    </row>
    <row r="820" spans="1:23" ht="15" x14ac:dyDescent="0.2">
      <c r="A820" t="s">
        <v>1009</v>
      </c>
      <c r="B820" s="1">
        <f>45925</f>
        <v>45925</v>
      </c>
      <c r="C820" t="s">
        <v>0</v>
      </c>
      <c r="D820">
        <v>108108</v>
      </c>
      <c r="E820" s="2">
        <v>25004816</v>
      </c>
      <c r="F820" s="2">
        <v>1</v>
      </c>
      <c r="G820" t="s">
        <v>1447</v>
      </c>
      <c r="H820" t="s">
        <v>1129</v>
      </c>
      <c r="I820" t="s">
        <v>1941</v>
      </c>
      <c r="J820" t="s">
        <v>1324</v>
      </c>
      <c r="K820" s="3">
        <v>1</v>
      </c>
      <c r="L820" s="4">
        <v>26.9</v>
      </c>
      <c r="O820" t="s">
        <v>2</v>
      </c>
      <c r="P820" t="s">
        <v>898</v>
      </c>
      <c r="Q820" s="2">
        <v>0</v>
      </c>
      <c r="R820" s="5">
        <v>26.9</v>
      </c>
      <c r="S820" s="5">
        <v>0</v>
      </c>
      <c r="T820" s="2">
        <v>27</v>
      </c>
      <c r="U820" t="s">
        <v>3</v>
      </c>
      <c r="V820" t="s">
        <v>286</v>
      </c>
      <c r="W820" s="5">
        <v>22.61</v>
      </c>
    </row>
    <row r="821" spans="1:23" ht="15" x14ac:dyDescent="0.2">
      <c r="A821" t="s">
        <v>1009</v>
      </c>
      <c r="B821" s="1">
        <f>45925</f>
        <v>45925</v>
      </c>
      <c r="C821" t="s">
        <v>0</v>
      </c>
      <c r="D821">
        <v>108108</v>
      </c>
      <c r="E821" s="2">
        <v>25004817</v>
      </c>
      <c r="F821" s="2">
        <v>1</v>
      </c>
      <c r="G821" t="s">
        <v>1646</v>
      </c>
      <c r="H821" t="s">
        <v>361</v>
      </c>
      <c r="I821" t="s">
        <v>1647</v>
      </c>
      <c r="J821" t="s">
        <v>1324</v>
      </c>
      <c r="K821" s="3">
        <v>1</v>
      </c>
      <c r="L821" s="4">
        <v>-450</v>
      </c>
      <c r="Q821" s="2">
        <v>0</v>
      </c>
      <c r="R821" s="5">
        <v>-450</v>
      </c>
      <c r="S821" s="5">
        <v>0</v>
      </c>
      <c r="T821" s="2">
        <v>-450</v>
      </c>
      <c r="U821" t="s">
        <v>1</v>
      </c>
      <c r="V821" t="s">
        <v>361</v>
      </c>
      <c r="W821" s="5">
        <v>-450</v>
      </c>
    </row>
    <row r="822" spans="1:23" ht="15" x14ac:dyDescent="0.2">
      <c r="A822" t="s">
        <v>1009</v>
      </c>
      <c r="B822" s="1">
        <f>45926</f>
        <v>45926</v>
      </c>
      <c r="C822" t="s">
        <v>0</v>
      </c>
      <c r="D822">
        <v>108108</v>
      </c>
      <c r="E822" s="2">
        <v>25004818</v>
      </c>
      <c r="F822" s="2">
        <v>1</v>
      </c>
      <c r="G822" t="s">
        <v>1646</v>
      </c>
      <c r="H822" t="s">
        <v>361</v>
      </c>
      <c r="I822" t="s">
        <v>1647</v>
      </c>
      <c r="J822" t="s">
        <v>1325</v>
      </c>
      <c r="K822" s="3">
        <v>1</v>
      </c>
      <c r="L822" s="4">
        <v>450</v>
      </c>
      <c r="Q822" s="2">
        <v>0</v>
      </c>
      <c r="R822" s="5">
        <v>450</v>
      </c>
      <c r="S822" s="5">
        <v>0</v>
      </c>
      <c r="T822" s="2">
        <v>450</v>
      </c>
      <c r="U822" t="s">
        <v>1</v>
      </c>
      <c r="V822" t="s">
        <v>361</v>
      </c>
      <c r="W822" s="5">
        <v>450</v>
      </c>
    </row>
    <row r="823" spans="1:23" ht="15" x14ac:dyDescent="0.2">
      <c r="A823" t="s">
        <v>1009</v>
      </c>
      <c r="B823" s="1">
        <f>45926</f>
        <v>45926</v>
      </c>
      <c r="C823" t="s">
        <v>0</v>
      </c>
      <c r="D823">
        <v>108108</v>
      </c>
      <c r="E823" s="2">
        <v>25004819</v>
      </c>
      <c r="F823" s="2">
        <v>1</v>
      </c>
      <c r="G823" t="s">
        <v>1416</v>
      </c>
      <c r="H823" t="s">
        <v>1098</v>
      </c>
      <c r="I823" t="s">
        <v>1966</v>
      </c>
      <c r="J823" t="s">
        <v>1325</v>
      </c>
      <c r="K823" s="3">
        <v>1</v>
      </c>
      <c r="L823" s="4">
        <v>22.9</v>
      </c>
      <c r="O823" t="s">
        <v>2</v>
      </c>
      <c r="P823" t="s">
        <v>899</v>
      </c>
      <c r="Q823" s="2">
        <v>0</v>
      </c>
      <c r="R823" s="5">
        <v>22.9</v>
      </c>
      <c r="S823" s="5">
        <v>0</v>
      </c>
      <c r="T823" s="2">
        <v>23</v>
      </c>
      <c r="U823" t="s">
        <v>3</v>
      </c>
      <c r="V823" t="s">
        <v>308</v>
      </c>
      <c r="W823" s="5">
        <v>38.479999999999997</v>
      </c>
    </row>
    <row r="824" spans="1:23" ht="15" x14ac:dyDescent="0.2">
      <c r="A824" t="s">
        <v>1009</v>
      </c>
      <c r="B824" s="1">
        <f>45926</f>
        <v>45926</v>
      </c>
      <c r="C824" t="s">
        <v>0</v>
      </c>
      <c r="D824">
        <v>108108</v>
      </c>
      <c r="E824" s="2">
        <v>25004819</v>
      </c>
      <c r="F824" s="2">
        <v>2</v>
      </c>
      <c r="G824" t="s">
        <v>1535</v>
      </c>
      <c r="H824" t="s">
        <v>1214</v>
      </c>
      <c r="I824" t="s">
        <v>1966</v>
      </c>
      <c r="J824" t="s">
        <v>1325</v>
      </c>
      <c r="K824" s="3">
        <v>1</v>
      </c>
      <c r="L824" s="4">
        <v>22.9</v>
      </c>
      <c r="O824" t="s">
        <v>2</v>
      </c>
      <c r="P824" t="s">
        <v>899</v>
      </c>
      <c r="Q824" s="2">
        <v>0</v>
      </c>
      <c r="R824" s="5">
        <v>22.9</v>
      </c>
      <c r="S824" s="5">
        <v>0</v>
      </c>
      <c r="T824" s="2">
        <v>23</v>
      </c>
      <c r="U824" t="s">
        <v>3</v>
      </c>
      <c r="V824" t="s">
        <v>308</v>
      </c>
      <c r="W824" s="5">
        <v>38.479999999999997</v>
      </c>
    </row>
    <row r="825" spans="1:23" ht="15" x14ac:dyDescent="0.2">
      <c r="A825" t="s">
        <v>1009</v>
      </c>
      <c r="B825" s="1">
        <f>45926</f>
        <v>45926</v>
      </c>
      <c r="C825" t="s">
        <v>0</v>
      </c>
      <c r="D825">
        <v>108108</v>
      </c>
      <c r="E825" s="2">
        <v>25004820</v>
      </c>
      <c r="F825" s="2">
        <v>1</v>
      </c>
      <c r="G825" t="s">
        <v>1363</v>
      </c>
      <c r="H825" t="s">
        <v>1045</v>
      </c>
      <c r="I825" t="s">
        <v>1967</v>
      </c>
      <c r="J825" t="s">
        <v>1325</v>
      </c>
      <c r="K825" s="3">
        <v>1</v>
      </c>
      <c r="L825" s="4">
        <v>24</v>
      </c>
      <c r="O825" t="s">
        <v>2</v>
      </c>
      <c r="P825" t="s">
        <v>900</v>
      </c>
      <c r="Q825" s="2">
        <v>25</v>
      </c>
      <c r="R825" s="5">
        <v>32</v>
      </c>
      <c r="S825" s="5">
        <v>8</v>
      </c>
      <c r="T825" s="2">
        <v>24</v>
      </c>
      <c r="U825" t="s">
        <v>3</v>
      </c>
      <c r="V825" t="s">
        <v>309</v>
      </c>
      <c r="W825" s="5">
        <v>20.170000000000002</v>
      </c>
    </row>
    <row r="826" spans="1:23" ht="15" x14ac:dyDescent="0.2">
      <c r="A826" t="s">
        <v>1009</v>
      </c>
      <c r="B826" s="1">
        <f>45926</f>
        <v>45926</v>
      </c>
      <c r="C826" t="s">
        <v>0</v>
      </c>
      <c r="D826">
        <v>108108</v>
      </c>
      <c r="E826" s="2">
        <v>25004821</v>
      </c>
      <c r="F826" s="2">
        <v>1</v>
      </c>
      <c r="G826" t="s">
        <v>1624</v>
      </c>
      <c r="H826" t="s">
        <v>1301</v>
      </c>
      <c r="I826" t="s">
        <v>1794</v>
      </c>
      <c r="J826" t="s">
        <v>1325</v>
      </c>
      <c r="K826" s="3">
        <v>1</v>
      </c>
      <c r="L826" s="4">
        <v>32</v>
      </c>
      <c r="O826" t="s">
        <v>2</v>
      </c>
      <c r="P826" t="s">
        <v>901</v>
      </c>
      <c r="Q826" s="2">
        <v>0</v>
      </c>
      <c r="R826" s="5">
        <v>32</v>
      </c>
      <c r="S826" s="5">
        <v>0</v>
      </c>
      <c r="T826" s="2">
        <v>32</v>
      </c>
      <c r="U826" t="s">
        <v>3</v>
      </c>
      <c r="V826" t="s">
        <v>146</v>
      </c>
      <c r="W826" s="5">
        <v>26.89</v>
      </c>
    </row>
    <row r="827" spans="1:23" ht="15" x14ac:dyDescent="0.2">
      <c r="A827" t="s">
        <v>1009</v>
      </c>
      <c r="B827" s="1">
        <f>45926</f>
        <v>45926</v>
      </c>
      <c r="C827" t="s">
        <v>0</v>
      </c>
      <c r="D827">
        <v>108108</v>
      </c>
      <c r="E827" s="2">
        <v>25004822</v>
      </c>
      <c r="F827" s="2">
        <v>1</v>
      </c>
      <c r="G827" t="s">
        <v>1475</v>
      </c>
      <c r="H827" t="s">
        <v>1156</v>
      </c>
      <c r="I827" t="s">
        <v>1745</v>
      </c>
      <c r="J827" t="s">
        <v>1325</v>
      </c>
      <c r="K827" s="3">
        <v>1</v>
      </c>
      <c r="L827" s="4">
        <v>27.5</v>
      </c>
      <c r="O827" t="s">
        <v>2</v>
      </c>
      <c r="P827" t="s">
        <v>902</v>
      </c>
      <c r="Q827" s="2">
        <v>0</v>
      </c>
      <c r="R827" s="5">
        <v>27.5</v>
      </c>
      <c r="S827" s="5">
        <v>0</v>
      </c>
      <c r="T827" s="2">
        <v>28</v>
      </c>
      <c r="U827" t="s">
        <v>3</v>
      </c>
      <c r="V827" t="s">
        <v>100</v>
      </c>
      <c r="W827" s="5">
        <v>31.43</v>
      </c>
    </row>
    <row r="828" spans="1:23" ht="15" x14ac:dyDescent="0.2">
      <c r="A828" t="s">
        <v>1009</v>
      </c>
      <c r="B828" s="1">
        <f>45926</f>
        <v>45926</v>
      </c>
      <c r="C828" t="s">
        <v>0</v>
      </c>
      <c r="D828">
        <v>108108</v>
      </c>
      <c r="E828" s="2">
        <v>25004822</v>
      </c>
      <c r="F828" s="2">
        <v>2</v>
      </c>
      <c r="G828" t="s">
        <v>1369</v>
      </c>
      <c r="H828" t="s">
        <v>1051</v>
      </c>
      <c r="I828" t="s">
        <v>1745</v>
      </c>
      <c r="J828" t="s">
        <v>1325</v>
      </c>
      <c r="K828" s="3">
        <v>1</v>
      </c>
      <c r="L828" s="4">
        <v>9.9</v>
      </c>
      <c r="O828" t="s">
        <v>2</v>
      </c>
      <c r="P828" t="s">
        <v>902</v>
      </c>
      <c r="Q828" s="2">
        <v>0</v>
      </c>
      <c r="R828" s="5">
        <v>9.9</v>
      </c>
      <c r="S828" s="5">
        <v>0</v>
      </c>
      <c r="T828" s="2">
        <v>10</v>
      </c>
      <c r="U828" t="s">
        <v>3</v>
      </c>
      <c r="V828" t="s">
        <v>100</v>
      </c>
      <c r="W828" s="5">
        <v>31.43</v>
      </c>
    </row>
    <row r="829" spans="1:23" ht="15" x14ac:dyDescent="0.2">
      <c r="A829" t="s">
        <v>1009</v>
      </c>
      <c r="B829" s="1">
        <f>45926</f>
        <v>45926</v>
      </c>
      <c r="C829" t="s">
        <v>0</v>
      </c>
      <c r="D829">
        <v>108108</v>
      </c>
      <c r="E829" s="2">
        <v>25004823</v>
      </c>
      <c r="F829" s="2">
        <v>1</v>
      </c>
      <c r="G829" t="s">
        <v>1393</v>
      </c>
      <c r="H829" t="s">
        <v>1075</v>
      </c>
      <c r="I829" t="s">
        <v>1968</v>
      </c>
      <c r="J829" t="s">
        <v>1325</v>
      </c>
      <c r="K829" s="3">
        <v>1</v>
      </c>
      <c r="L829" s="4">
        <v>33</v>
      </c>
      <c r="O829" t="s">
        <v>2</v>
      </c>
      <c r="P829" t="s">
        <v>903</v>
      </c>
      <c r="Q829" s="2">
        <v>0</v>
      </c>
      <c r="R829" s="5">
        <v>33</v>
      </c>
      <c r="S829" s="5">
        <v>0</v>
      </c>
      <c r="T829" s="2">
        <v>33</v>
      </c>
      <c r="U829" t="s">
        <v>3</v>
      </c>
      <c r="V829" t="s">
        <v>310</v>
      </c>
      <c r="W829" s="5">
        <v>27.73</v>
      </c>
    </row>
    <row r="830" spans="1:23" ht="15" x14ac:dyDescent="0.2">
      <c r="A830" t="s">
        <v>1009</v>
      </c>
      <c r="B830" s="1">
        <f>45926</f>
        <v>45926</v>
      </c>
      <c r="C830" t="s">
        <v>0</v>
      </c>
      <c r="D830">
        <v>108108</v>
      </c>
      <c r="E830" s="2">
        <v>25004824</v>
      </c>
      <c r="F830" s="2">
        <v>1</v>
      </c>
      <c r="G830" t="s">
        <v>1433</v>
      </c>
      <c r="H830" t="s">
        <v>1115</v>
      </c>
      <c r="I830" t="s">
        <v>1911</v>
      </c>
      <c r="J830" t="s">
        <v>1325</v>
      </c>
      <c r="K830" s="3">
        <v>1</v>
      </c>
      <c r="L830" s="4">
        <v>29.9</v>
      </c>
      <c r="O830" t="s">
        <v>2</v>
      </c>
      <c r="P830" t="s">
        <v>904</v>
      </c>
      <c r="Q830" s="2">
        <v>0</v>
      </c>
      <c r="R830" s="5">
        <v>29.9</v>
      </c>
      <c r="S830" s="5">
        <v>0</v>
      </c>
      <c r="T830" s="2">
        <v>30</v>
      </c>
      <c r="U830" t="s">
        <v>3</v>
      </c>
      <c r="V830" t="s">
        <v>256</v>
      </c>
      <c r="W830" s="5">
        <v>25.13</v>
      </c>
    </row>
    <row r="831" spans="1:23" ht="15" x14ac:dyDescent="0.2">
      <c r="A831" t="s">
        <v>1009</v>
      </c>
      <c r="B831" s="1">
        <f>45926</f>
        <v>45926</v>
      </c>
      <c r="C831" t="s">
        <v>0</v>
      </c>
      <c r="D831">
        <v>108108</v>
      </c>
      <c r="E831" s="2">
        <v>25004825</v>
      </c>
      <c r="F831" s="2">
        <v>1</v>
      </c>
      <c r="G831" t="s">
        <v>1432</v>
      </c>
      <c r="H831" t="s">
        <v>1114</v>
      </c>
      <c r="I831" t="s">
        <v>1955</v>
      </c>
      <c r="J831" t="s">
        <v>1325</v>
      </c>
      <c r="K831" s="3">
        <v>1</v>
      </c>
      <c r="L831" s="4">
        <v>26.9</v>
      </c>
      <c r="O831" t="s">
        <v>2</v>
      </c>
      <c r="P831" t="s">
        <v>905</v>
      </c>
      <c r="Q831" s="2">
        <v>0</v>
      </c>
      <c r="R831" s="5">
        <v>26.9</v>
      </c>
      <c r="S831" s="5">
        <v>0</v>
      </c>
      <c r="T831" s="2">
        <v>27</v>
      </c>
      <c r="U831" t="s">
        <v>3</v>
      </c>
      <c r="V831" t="s">
        <v>298</v>
      </c>
      <c r="W831" s="5">
        <v>22.61</v>
      </c>
    </row>
    <row r="832" spans="1:23" ht="15" x14ac:dyDescent="0.2">
      <c r="A832" t="s">
        <v>1009</v>
      </c>
      <c r="B832" s="1">
        <f>45926</f>
        <v>45926</v>
      </c>
      <c r="C832" t="s">
        <v>0</v>
      </c>
      <c r="D832">
        <v>108108</v>
      </c>
      <c r="E832" s="2">
        <v>25004826</v>
      </c>
      <c r="F832" s="2">
        <v>1</v>
      </c>
      <c r="G832" t="s">
        <v>1331</v>
      </c>
      <c r="H832" t="s">
        <v>1014</v>
      </c>
      <c r="I832" t="s">
        <v>1969</v>
      </c>
      <c r="J832" t="s">
        <v>1325</v>
      </c>
      <c r="K832" s="3">
        <v>1</v>
      </c>
      <c r="L832" s="4">
        <v>21.9</v>
      </c>
      <c r="O832" t="s">
        <v>2</v>
      </c>
      <c r="P832" t="s">
        <v>906</v>
      </c>
      <c r="Q832" s="2">
        <v>0</v>
      </c>
      <c r="R832" s="5">
        <v>21.9</v>
      </c>
      <c r="S832" s="5">
        <v>0</v>
      </c>
      <c r="T832" s="2">
        <v>22</v>
      </c>
      <c r="U832" t="s">
        <v>3</v>
      </c>
      <c r="V832" t="s">
        <v>311</v>
      </c>
      <c r="W832" s="5">
        <v>18.399999999999999</v>
      </c>
    </row>
    <row r="833" spans="1:23" ht="15" x14ac:dyDescent="0.2">
      <c r="A833" t="s">
        <v>1009</v>
      </c>
      <c r="B833" s="1">
        <f>45926</f>
        <v>45926</v>
      </c>
      <c r="C833" t="s">
        <v>0</v>
      </c>
      <c r="D833">
        <v>108108</v>
      </c>
      <c r="E833" s="2">
        <v>25004827</v>
      </c>
      <c r="F833" s="2">
        <v>1</v>
      </c>
      <c r="G833" t="s">
        <v>1617</v>
      </c>
      <c r="H833" t="s">
        <v>1295</v>
      </c>
      <c r="I833" t="s">
        <v>1960</v>
      </c>
      <c r="J833" t="s">
        <v>1325</v>
      </c>
      <c r="K833" s="3">
        <v>1</v>
      </c>
      <c r="L833" s="4">
        <v>27.5</v>
      </c>
      <c r="O833" t="s">
        <v>2</v>
      </c>
      <c r="P833" t="s">
        <v>907</v>
      </c>
      <c r="Q833" s="2">
        <v>0</v>
      </c>
      <c r="R833" s="5">
        <v>27.5</v>
      </c>
      <c r="S833" s="5">
        <v>0</v>
      </c>
      <c r="T833" s="2">
        <v>28</v>
      </c>
      <c r="U833" t="s">
        <v>3</v>
      </c>
      <c r="V833" t="s">
        <v>302</v>
      </c>
      <c r="W833" s="5">
        <v>23.11</v>
      </c>
    </row>
    <row r="834" spans="1:23" ht="15" x14ac:dyDescent="0.2">
      <c r="A834" t="s">
        <v>1009</v>
      </c>
      <c r="B834" s="1">
        <f>45926</f>
        <v>45926</v>
      </c>
      <c r="C834" t="s">
        <v>0</v>
      </c>
      <c r="D834">
        <v>108108</v>
      </c>
      <c r="E834" s="2">
        <v>25004828</v>
      </c>
      <c r="F834" s="2">
        <v>1</v>
      </c>
      <c r="G834" t="s">
        <v>1625</v>
      </c>
      <c r="H834" t="s">
        <v>1302</v>
      </c>
      <c r="I834" t="s">
        <v>1959</v>
      </c>
      <c r="J834" t="s">
        <v>1325</v>
      </c>
      <c r="K834" s="3">
        <v>1</v>
      </c>
      <c r="L834" s="4">
        <v>95</v>
      </c>
      <c r="O834" t="s">
        <v>2</v>
      </c>
      <c r="P834" t="s">
        <v>908</v>
      </c>
      <c r="Q834" s="2">
        <v>50</v>
      </c>
      <c r="R834" s="5">
        <v>190</v>
      </c>
      <c r="S834" s="5">
        <v>95</v>
      </c>
      <c r="T834" s="2">
        <v>95</v>
      </c>
      <c r="U834" t="s">
        <v>3</v>
      </c>
      <c r="V834" t="s">
        <v>301</v>
      </c>
      <c r="W834" s="5">
        <v>79.83</v>
      </c>
    </row>
    <row r="835" spans="1:23" ht="15" x14ac:dyDescent="0.2">
      <c r="A835" t="s">
        <v>1009</v>
      </c>
      <c r="B835" s="1">
        <f>45926</f>
        <v>45926</v>
      </c>
      <c r="C835" t="s">
        <v>0</v>
      </c>
      <c r="D835">
        <v>108108</v>
      </c>
      <c r="E835" s="2">
        <v>25004829</v>
      </c>
      <c r="F835" s="2">
        <v>1</v>
      </c>
      <c r="G835" t="s">
        <v>1469</v>
      </c>
      <c r="H835" t="s">
        <v>1150</v>
      </c>
      <c r="I835" t="s">
        <v>1970</v>
      </c>
      <c r="J835" t="s">
        <v>1325</v>
      </c>
      <c r="K835" s="3">
        <v>1</v>
      </c>
      <c r="L835" s="4">
        <v>27.5</v>
      </c>
      <c r="O835" t="s">
        <v>2</v>
      </c>
      <c r="P835" t="s">
        <v>909</v>
      </c>
      <c r="Q835" s="2">
        <v>0</v>
      </c>
      <c r="R835" s="5">
        <v>27.5</v>
      </c>
      <c r="S835" s="5">
        <v>0</v>
      </c>
      <c r="T835" s="2">
        <v>28</v>
      </c>
      <c r="U835" t="s">
        <v>3</v>
      </c>
      <c r="V835" t="s">
        <v>312</v>
      </c>
      <c r="W835" s="5">
        <v>27.31</v>
      </c>
    </row>
    <row r="836" spans="1:23" ht="15" x14ac:dyDescent="0.2">
      <c r="A836" t="s">
        <v>1009</v>
      </c>
      <c r="B836" s="1">
        <f>45926</f>
        <v>45926</v>
      </c>
      <c r="C836" t="s">
        <v>0</v>
      </c>
      <c r="D836">
        <v>108108</v>
      </c>
      <c r="E836" s="2">
        <v>25004829</v>
      </c>
      <c r="F836" s="2">
        <v>2</v>
      </c>
      <c r="G836" t="s">
        <v>1332</v>
      </c>
      <c r="H836" t="s">
        <v>362</v>
      </c>
      <c r="I836" t="s">
        <v>1970</v>
      </c>
      <c r="J836" t="s">
        <v>1325</v>
      </c>
      <c r="K836" s="3">
        <v>1</v>
      </c>
      <c r="L836" s="4">
        <v>5</v>
      </c>
      <c r="O836" t="s">
        <v>2</v>
      </c>
      <c r="P836" t="s">
        <v>909</v>
      </c>
      <c r="Q836" s="2">
        <v>0</v>
      </c>
      <c r="R836" s="5">
        <v>5</v>
      </c>
      <c r="S836" s="5">
        <v>0</v>
      </c>
      <c r="T836" s="2">
        <v>5</v>
      </c>
      <c r="U836" t="s">
        <v>3</v>
      </c>
      <c r="V836" t="s">
        <v>312</v>
      </c>
      <c r="W836" s="5">
        <v>27.31</v>
      </c>
    </row>
    <row r="837" spans="1:23" ht="15" x14ac:dyDescent="0.2">
      <c r="A837" t="s">
        <v>1009</v>
      </c>
      <c r="B837" s="1">
        <f>45926</f>
        <v>45926</v>
      </c>
      <c r="C837" t="s">
        <v>0</v>
      </c>
      <c r="D837">
        <v>108108</v>
      </c>
      <c r="E837" s="2">
        <v>25004830</v>
      </c>
      <c r="F837" s="2">
        <v>1</v>
      </c>
      <c r="G837" t="s">
        <v>1552</v>
      </c>
      <c r="H837" t="s">
        <v>1231</v>
      </c>
      <c r="I837" t="s">
        <v>1971</v>
      </c>
      <c r="J837" t="s">
        <v>1325</v>
      </c>
      <c r="K837" s="3">
        <v>1</v>
      </c>
      <c r="L837" s="4">
        <v>60</v>
      </c>
      <c r="O837" t="s">
        <v>2</v>
      </c>
      <c r="P837" t="s">
        <v>910</v>
      </c>
      <c r="Q837" s="2">
        <v>0</v>
      </c>
      <c r="R837" s="5">
        <v>60</v>
      </c>
      <c r="S837" s="5">
        <v>0</v>
      </c>
      <c r="T837" s="2">
        <v>60</v>
      </c>
      <c r="U837" t="s">
        <v>3</v>
      </c>
      <c r="V837" t="s">
        <v>154</v>
      </c>
      <c r="W837" s="5">
        <v>72.94</v>
      </c>
    </row>
    <row r="838" spans="1:23" ht="15" x14ac:dyDescent="0.2">
      <c r="A838" t="s">
        <v>1009</v>
      </c>
      <c r="B838" s="1">
        <f>45926</f>
        <v>45926</v>
      </c>
      <c r="C838" t="s">
        <v>0</v>
      </c>
      <c r="D838">
        <v>108108</v>
      </c>
      <c r="E838" s="2">
        <v>25004830</v>
      </c>
      <c r="F838" s="2">
        <v>2</v>
      </c>
      <c r="G838" t="s">
        <v>1352</v>
      </c>
      <c r="H838" t="s">
        <v>1034</v>
      </c>
      <c r="I838" t="s">
        <v>1971</v>
      </c>
      <c r="J838" t="s">
        <v>1325</v>
      </c>
      <c r="K838" s="3">
        <v>1</v>
      </c>
      <c r="L838" s="4">
        <v>9.9</v>
      </c>
      <c r="O838" t="s">
        <v>2</v>
      </c>
      <c r="P838" t="s">
        <v>910</v>
      </c>
      <c r="Q838" s="2">
        <v>0</v>
      </c>
      <c r="R838" s="5">
        <v>9.9</v>
      </c>
      <c r="S838" s="5">
        <v>0</v>
      </c>
      <c r="T838" s="2">
        <v>10</v>
      </c>
      <c r="U838" t="s">
        <v>3</v>
      </c>
      <c r="V838" t="s">
        <v>154</v>
      </c>
      <c r="W838" s="5">
        <v>72.94</v>
      </c>
    </row>
    <row r="839" spans="1:23" ht="15" x14ac:dyDescent="0.2">
      <c r="A839" t="s">
        <v>1009</v>
      </c>
      <c r="B839" s="1">
        <f>45926</f>
        <v>45926</v>
      </c>
      <c r="C839" t="s">
        <v>0</v>
      </c>
      <c r="D839">
        <v>108108</v>
      </c>
      <c r="E839" s="2">
        <v>25004830</v>
      </c>
      <c r="F839" s="2">
        <v>3</v>
      </c>
      <c r="G839" t="s">
        <v>1626</v>
      </c>
      <c r="H839" t="s">
        <v>1303</v>
      </c>
      <c r="I839" t="s">
        <v>1971</v>
      </c>
      <c r="J839" t="s">
        <v>1325</v>
      </c>
      <c r="K839" s="3">
        <v>1</v>
      </c>
      <c r="L839" s="4">
        <v>16.899999999999999</v>
      </c>
      <c r="O839" t="s">
        <v>2</v>
      </c>
      <c r="P839" t="s">
        <v>910</v>
      </c>
      <c r="Q839" s="2">
        <v>0</v>
      </c>
      <c r="R839" s="5">
        <v>16.899999999999999</v>
      </c>
      <c r="S839" s="5">
        <v>0</v>
      </c>
      <c r="T839" s="2">
        <v>17</v>
      </c>
      <c r="U839" t="s">
        <v>3</v>
      </c>
      <c r="V839" t="s">
        <v>154</v>
      </c>
      <c r="W839" s="5">
        <v>72.94</v>
      </c>
    </row>
    <row r="840" spans="1:23" ht="15" x14ac:dyDescent="0.2">
      <c r="A840" t="s">
        <v>1009</v>
      </c>
      <c r="B840" s="1">
        <f>45926</f>
        <v>45926</v>
      </c>
      <c r="C840" t="s">
        <v>0</v>
      </c>
      <c r="D840">
        <v>108108</v>
      </c>
      <c r="E840" s="2">
        <v>25004831</v>
      </c>
      <c r="F840" s="2">
        <v>1</v>
      </c>
      <c r="G840" t="s">
        <v>1627</v>
      </c>
      <c r="H840" t="s">
        <v>1304</v>
      </c>
      <c r="I840" t="s">
        <v>1972</v>
      </c>
      <c r="J840" t="s">
        <v>1325</v>
      </c>
      <c r="K840" s="3">
        <v>1</v>
      </c>
      <c r="L840" s="4">
        <v>18.899999999999999</v>
      </c>
      <c r="O840" t="s">
        <v>2</v>
      </c>
      <c r="P840" t="s">
        <v>911</v>
      </c>
      <c r="Q840" s="2">
        <v>0</v>
      </c>
      <c r="R840" s="5">
        <v>18.899999999999999</v>
      </c>
      <c r="S840" s="5">
        <v>0</v>
      </c>
      <c r="T840" s="2">
        <v>19</v>
      </c>
      <c r="U840" t="s">
        <v>3</v>
      </c>
      <c r="V840" t="s">
        <v>313</v>
      </c>
      <c r="W840" s="5">
        <v>45.2</v>
      </c>
    </row>
    <row r="841" spans="1:23" ht="15" x14ac:dyDescent="0.2">
      <c r="A841" t="s">
        <v>1009</v>
      </c>
      <c r="B841" s="1">
        <f>45926</f>
        <v>45926</v>
      </c>
      <c r="C841" t="s">
        <v>0</v>
      </c>
      <c r="D841">
        <v>108108</v>
      </c>
      <c r="E841" s="2">
        <v>25004831</v>
      </c>
      <c r="F841" s="2">
        <v>2</v>
      </c>
      <c r="G841" t="s">
        <v>1414</v>
      </c>
      <c r="H841" t="s">
        <v>1096</v>
      </c>
      <c r="I841" t="s">
        <v>1972</v>
      </c>
      <c r="J841" t="s">
        <v>1325</v>
      </c>
      <c r="K841" s="3">
        <v>1</v>
      </c>
      <c r="L841" s="4">
        <v>22.9</v>
      </c>
      <c r="O841" t="s">
        <v>2</v>
      </c>
      <c r="P841" t="s">
        <v>911</v>
      </c>
      <c r="Q841" s="2">
        <v>0</v>
      </c>
      <c r="R841" s="5">
        <v>22.9</v>
      </c>
      <c r="S841" s="5">
        <v>0</v>
      </c>
      <c r="T841" s="2">
        <v>23</v>
      </c>
      <c r="U841" t="s">
        <v>3</v>
      </c>
      <c r="V841" t="s">
        <v>313</v>
      </c>
      <c r="W841" s="5">
        <v>45.2</v>
      </c>
    </row>
    <row r="842" spans="1:23" ht="15" x14ac:dyDescent="0.2">
      <c r="A842" t="s">
        <v>1009</v>
      </c>
      <c r="B842" s="1">
        <f>45926</f>
        <v>45926</v>
      </c>
      <c r="C842" t="s">
        <v>0</v>
      </c>
      <c r="D842">
        <v>108108</v>
      </c>
      <c r="E842" s="2">
        <v>25004831</v>
      </c>
      <c r="F842" s="2">
        <v>3</v>
      </c>
      <c r="G842" t="s">
        <v>1587</v>
      </c>
      <c r="H842" t="s">
        <v>1265</v>
      </c>
      <c r="I842" t="s">
        <v>1972</v>
      </c>
      <c r="J842" t="s">
        <v>1325</v>
      </c>
      <c r="K842" s="3">
        <v>1</v>
      </c>
      <c r="L842" s="4">
        <v>6</v>
      </c>
      <c r="O842" t="s">
        <v>2</v>
      </c>
      <c r="P842" t="s">
        <v>911</v>
      </c>
      <c r="Q842" s="2">
        <v>0</v>
      </c>
      <c r="R842" s="5">
        <v>6</v>
      </c>
      <c r="S842" s="5">
        <v>0</v>
      </c>
      <c r="T842" s="2">
        <v>6</v>
      </c>
      <c r="U842" t="s">
        <v>3</v>
      </c>
      <c r="V842" t="s">
        <v>313</v>
      </c>
      <c r="W842" s="5">
        <v>45.2</v>
      </c>
    </row>
    <row r="843" spans="1:23" ht="15" x14ac:dyDescent="0.2">
      <c r="A843" t="s">
        <v>1009</v>
      </c>
      <c r="B843" s="1">
        <f>45926</f>
        <v>45926</v>
      </c>
      <c r="C843" t="s">
        <v>0</v>
      </c>
      <c r="D843">
        <v>108108</v>
      </c>
      <c r="E843" s="2">
        <v>25004831</v>
      </c>
      <c r="F843" s="2">
        <v>4</v>
      </c>
      <c r="G843" t="s">
        <v>1587</v>
      </c>
      <c r="H843" t="s">
        <v>1265</v>
      </c>
      <c r="I843" t="s">
        <v>1972</v>
      </c>
      <c r="J843" t="s">
        <v>1325</v>
      </c>
      <c r="K843" s="3">
        <v>1</v>
      </c>
      <c r="L843" s="4">
        <v>6</v>
      </c>
      <c r="O843" t="s">
        <v>2</v>
      </c>
      <c r="P843" t="s">
        <v>911</v>
      </c>
      <c r="Q843" s="2">
        <v>0</v>
      </c>
      <c r="R843" s="5">
        <v>6</v>
      </c>
      <c r="S843" s="5">
        <v>0</v>
      </c>
      <c r="T843" s="2">
        <v>6</v>
      </c>
      <c r="U843" t="s">
        <v>3</v>
      </c>
      <c r="V843" t="s">
        <v>313</v>
      </c>
      <c r="W843" s="5">
        <v>45.2</v>
      </c>
    </row>
    <row r="844" spans="1:23" ht="15" x14ac:dyDescent="0.2">
      <c r="A844" t="s">
        <v>1009</v>
      </c>
      <c r="B844" s="1">
        <f>45926</f>
        <v>45926</v>
      </c>
      <c r="C844" t="s">
        <v>0</v>
      </c>
      <c r="D844">
        <v>108108</v>
      </c>
      <c r="E844" s="2">
        <v>25004832</v>
      </c>
      <c r="F844" s="2">
        <v>1</v>
      </c>
      <c r="G844" t="s">
        <v>1531</v>
      </c>
      <c r="H844" t="s">
        <v>1211</v>
      </c>
      <c r="I844" t="s">
        <v>1970</v>
      </c>
      <c r="J844" t="s">
        <v>1324</v>
      </c>
      <c r="K844" s="3">
        <v>1</v>
      </c>
      <c r="L844" s="4">
        <v>27.9</v>
      </c>
      <c r="O844" t="s">
        <v>2</v>
      </c>
      <c r="P844" t="s">
        <v>912</v>
      </c>
      <c r="Q844" s="2">
        <v>0</v>
      </c>
      <c r="R844" s="5">
        <v>27.9</v>
      </c>
      <c r="S844" s="5">
        <v>0</v>
      </c>
      <c r="T844" s="2">
        <v>28</v>
      </c>
      <c r="U844" t="s">
        <v>3</v>
      </c>
      <c r="V844" t="s">
        <v>312</v>
      </c>
      <c r="W844" s="5">
        <v>23.45</v>
      </c>
    </row>
    <row r="845" spans="1:23" ht="15" x14ac:dyDescent="0.2">
      <c r="A845" t="s">
        <v>1009</v>
      </c>
      <c r="B845" s="1">
        <f>45926</f>
        <v>45926</v>
      </c>
      <c r="C845" t="s">
        <v>0</v>
      </c>
      <c r="D845">
        <v>108108</v>
      </c>
      <c r="E845" s="2">
        <v>25004833</v>
      </c>
      <c r="F845" s="2">
        <v>1</v>
      </c>
      <c r="G845" t="s">
        <v>1535</v>
      </c>
      <c r="H845" t="s">
        <v>1214</v>
      </c>
      <c r="I845" t="s">
        <v>1973</v>
      </c>
      <c r="J845" t="s">
        <v>1324</v>
      </c>
      <c r="K845" s="3">
        <v>1</v>
      </c>
      <c r="L845" s="4">
        <v>22.9</v>
      </c>
      <c r="O845" t="s">
        <v>2</v>
      </c>
      <c r="P845" t="s">
        <v>913</v>
      </c>
      <c r="Q845" s="2">
        <v>0</v>
      </c>
      <c r="R845" s="5">
        <v>22.9</v>
      </c>
      <c r="S845" s="5">
        <v>0</v>
      </c>
      <c r="T845" s="2">
        <v>23</v>
      </c>
      <c r="U845" t="s">
        <v>3</v>
      </c>
      <c r="V845" t="s">
        <v>209</v>
      </c>
      <c r="W845" s="5">
        <v>45.29</v>
      </c>
    </row>
    <row r="846" spans="1:23" ht="15" x14ac:dyDescent="0.2">
      <c r="A846" t="s">
        <v>1009</v>
      </c>
      <c r="B846" s="1">
        <f>45926</f>
        <v>45926</v>
      </c>
      <c r="C846" t="s">
        <v>0</v>
      </c>
      <c r="D846">
        <v>108108</v>
      </c>
      <c r="E846" s="2">
        <v>25004833</v>
      </c>
      <c r="F846" s="2">
        <v>2</v>
      </c>
      <c r="G846" t="s">
        <v>1547</v>
      </c>
      <c r="H846" t="s">
        <v>1226</v>
      </c>
      <c r="I846" t="s">
        <v>1973</v>
      </c>
      <c r="J846" t="s">
        <v>1324</v>
      </c>
      <c r="K846" s="3">
        <v>1</v>
      </c>
      <c r="L846" s="4">
        <v>31</v>
      </c>
      <c r="O846" t="s">
        <v>2</v>
      </c>
      <c r="P846" t="s">
        <v>913</v>
      </c>
      <c r="Q846" s="2">
        <v>0</v>
      </c>
      <c r="R846" s="5">
        <v>31</v>
      </c>
      <c r="S846" s="5">
        <v>0</v>
      </c>
      <c r="T846" s="2">
        <v>31</v>
      </c>
      <c r="U846" t="s">
        <v>3</v>
      </c>
      <c r="V846" t="s">
        <v>209</v>
      </c>
      <c r="W846" s="5">
        <v>45.29</v>
      </c>
    </row>
    <row r="847" spans="1:23" ht="15" x14ac:dyDescent="0.2">
      <c r="A847" t="s">
        <v>1009</v>
      </c>
      <c r="B847" s="1">
        <f>45926</f>
        <v>45926</v>
      </c>
      <c r="C847" t="s">
        <v>0</v>
      </c>
      <c r="D847">
        <v>108108</v>
      </c>
      <c r="E847" s="2">
        <v>25004834</v>
      </c>
      <c r="F847" s="2">
        <v>1</v>
      </c>
      <c r="G847" t="s">
        <v>1466</v>
      </c>
      <c r="H847" t="s">
        <v>1147</v>
      </c>
      <c r="I847" t="s">
        <v>1974</v>
      </c>
      <c r="J847" t="s">
        <v>1324</v>
      </c>
      <c r="K847" s="3">
        <v>1</v>
      </c>
      <c r="L847" s="4">
        <v>31.9</v>
      </c>
      <c r="O847" t="s">
        <v>2</v>
      </c>
      <c r="P847" t="s">
        <v>914</v>
      </c>
      <c r="Q847" s="2">
        <v>0</v>
      </c>
      <c r="R847" s="5">
        <v>31.9</v>
      </c>
      <c r="S847" s="5">
        <v>0</v>
      </c>
      <c r="T847" s="2">
        <v>32</v>
      </c>
      <c r="U847" t="s">
        <v>3</v>
      </c>
      <c r="V847" t="s">
        <v>314</v>
      </c>
      <c r="W847" s="5">
        <v>26.81</v>
      </c>
    </row>
    <row r="848" spans="1:23" ht="15" x14ac:dyDescent="0.2">
      <c r="A848" t="s">
        <v>1009</v>
      </c>
      <c r="B848" s="1">
        <f>45926</f>
        <v>45926</v>
      </c>
      <c r="C848" t="s">
        <v>0</v>
      </c>
      <c r="D848">
        <v>108108</v>
      </c>
      <c r="E848" s="2">
        <v>25004835</v>
      </c>
      <c r="F848" s="2">
        <v>1</v>
      </c>
      <c r="G848" t="s">
        <v>1628</v>
      </c>
      <c r="H848" t="s">
        <v>1305</v>
      </c>
      <c r="I848" t="s">
        <v>1975</v>
      </c>
      <c r="J848" t="s">
        <v>1324</v>
      </c>
      <c r="K848" s="3">
        <v>1</v>
      </c>
      <c r="L848" s="4">
        <v>28.9</v>
      </c>
      <c r="O848" t="s">
        <v>2</v>
      </c>
      <c r="P848" t="s">
        <v>915</v>
      </c>
      <c r="Q848" s="2">
        <v>0</v>
      </c>
      <c r="R848" s="5">
        <v>28.9</v>
      </c>
      <c r="S848" s="5">
        <v>0</v>
      </c>
      <c r="T848" s="2">
        <v>29</v>
      </c>
      <c r="U848" t="s">
        <v>3</v>
      </c>
      <c r="V848" t="s">
        <v>315</v>
      </c>
      <c r="W848" s="5">
        <v>73.709999999999994</v>
      </c>
    </row>
    <row r="849" spans="1:23" ht="15" x14ac:dyDescent="0.2">
      <c r="A849" t="s">
        <v>1009</v>
      </c>
      <c r="B849" s="1">
        <f>45926</f>
        <v>45926</v>
      </c>
      <c r="C849" t="s">
        <v>0</v>
      </c>
      <c r="D849">
        <v>108108</v>
      </c>
      <c r="E849" s="2">
        <v>25004835</v>
      </c>
      <c r="F849" s="2">
        <v>2</v>
      </c>
      <c r="G849" t="s">
        <v>1384</v>
      </c>
      <c r="H849" t="s">
        <v>1066</v>
      </c>
      <c r="I849" t="s">
        <v>1975</v>
      </c>
      <c r="J849" t="s">
        <v>1324</v>
      </c>
      <c r="K849" s="3">
        <v>1</v>
      </c>
      <c r="L849" s="4">
        <v>28.9</v>
      </c>
      <c r="O849" t="s">
        <v>2</v>
      </c>
      <c r="P849" t="s">
        <v>915</v>
      </c>
      <c r="Q849" s="2">
        <v>0</v>
      </c>
      <c r="R849" s="5">
        <v>28.9</v>
      </c>
      <c r="S849" s="5">
        <v>0</v>
      </c>
      <c r="T849" s="2">
        <v>29</v>
      </c>
      <c r="U849" t="s">
        <v>3</v>
      </c>
      <c r="V849" t="s">
        <v>315</v>
      </c>
      <c r="W849" s="5">
        <v>73.709999999999994</v>
      </c>
    </row>
    <row r="850" spans="1:23" ht="15" x14ac:dyDescent="0.2">
      <c r="A850" t="s">
        <v>1009</v>
      </c>
      <c r="B850" s="1">
        <f>45926</f>
        <v>45926</v>
      </c>
      <c r="C850" t="s">
        <v>0</v>
      </c>
      <c r="D850">
        <v>108108</v>
      </c>
      <c r="E850" s="2">
        <v>25004835</v>
      </c>
      <c r="F850" s="2">
        <v>3</v>
      </c>
      <c r="G850" t="s">
        <v>1532</v>
      </c>
      <c r="H850" t="s">
        <v>1212</v>
      </c>
      <c r="I850" t="s">
        <v>1975</v>
      </c>
      <c r="J850" t="s">
        <v>1324</v>
      </c>
      <c r="K850" s="3">
        <v>1</v>
      </c>
      <c r="L850" s="4">
        <v>29.9</v>
      </c>
      <c r="O850" t="s">
        <v>2</v>
      </c>
      <c r="P850" t="s">
        <v>915</v>
      </c>
      <c r="Q850" s="2">
        <v>0</v>
      </c>
      <c r="R850" s="5">
        <v>29.9</v>
      </c>
      <c r="S850" s="5">
        <v>0</v>
      </c>
      <c r="T850" s="2">
        <v>30</v>
      </c>
      <c r="U850" t="s">
        <v>3</v>
      </c>
      <c r="V850" t="s">
        <v>315</v>
      </c>
      <c r="W850" s="5">
        <v>73.709999999999994</v>
      </c>
    </row>
    <row r="851" spans="1:23" ht="15" x14ac:dyDescent="0.2">
      <c r="A851" t="s">
        <v>1009</v>
      </c>
      <c r="B851" s="1">
        <f>45926</f>
        <v>45926</v>
      </c>
      <c r="C851" t="s">
        <v>0</v>
      </c>
      <c r="D851">
        <v>108108</v>
      </c>
      <c r="E851" s="2">
        <v>25004836</v>
      </c>
      <c r="F851" s="2">
        <v>1</v>
      </c>
      <c r="G851" t="s">
        <v>1629</v>
      </c>
      <c r="H851" t="s">
        <v>1306</v>
      </c>
      <c r="I851" t="s">
        <v>1976</v>
      </c>
      <c r="J851" t="s">
        <v>1324</v>
      </c>
      <c r="K851" s="3">
        <v>1</v>
      </c>
      <c r="L851" s="4">
        <v>40.799999999999997</v>
      </c>
      <c r="O851" t="s">
        <v>2</v>
      </c>
      <c r="P851" t="s">
        <v>916</v>
      </c>
      <c r="Q851" s="2">
        <v>40</v>
      </c>
      <c r="R851" s="5">
        <v>68</v>
      </c>
      <c r="S851" s="5">
        <v>27.2</v>
      </c>
      <c r="T851" s="2">
        <v>41</v>
      </c>
      <c r="U851" t="s">
        <v>3</v>
      </c>
      <c r="V851" t="s">
        <v>316</v>
      </c>
      <c r="W851" s="5">
        <v>34.29</v>
      </c>
    </row>
    <row r="852" spans="1:23" ht="15" x14ac:dyDescent="0.2">
      <c r="A852" t="s">
        <v>1009</v>
      </c>
      <c r="B852" s="1">
        <f>45926</f>
        <v>45926</v>
      </c>
      <c r="C852" t="s">
        <v>0</v>
      </c>
      <c r="D852">
        <v>108108</v>
      </c>
      <c r="E852" s="2">
        <v>25004837</v>
      </c>
      <c r="F852" s="2">
        <v>1</v>
      </c>
      <c r="G852" t="s">
        <v>1348</v>
      </c>
      <c r="H852" t="s">
        <v>1030</v>
      </c>
      <c r="I852" t="s">
        <v>1977</v>
      </c>
      <c r="J852" t="s">
        <v>1324</v>
      </c>
      <c r="K852" s="3">
        <v>1</v>
      </c>
      <c r="L852" s="4">
        <v>27.9</v>
      </c>
      <c r="O852" t="s">
        <v>2</v>
      </c>
      <c r="P852" t="s">
        <v>917</v>
      </c>
      <c r="Q852" s="2">
        <v>0</v>
      </c>
      <c r="R852" s="5">
        <v>27.9</v>
      </c>
      <c r="S852" s="5">
        <v>0</v>
      </c>
      <c r="T852" s="2">
        <v>28</v>
      </c>
      <c r="U852" t="s">
        <v>3</v>
      </c>
      <c r="V852" t="s">
        <v>317</v>
      </c>
      <c r="W852" s="5">
        <v>23.45</v>
      </c>
    </row>
    <row r="853" spans="1:23" ht="15" x14ac:dyDescent="0.2">
      <c r="A853" t="s">
        <v>1009</v>
      </c>
      <c r="B853" s="1">
        <f>45926</f>
        <v>45926</v>
      </c>
      <c r="C853" t="s">
        <v>0</v>
      </c>
      <c r="D853">
        <v>108108</v>
      </c>
      <c r="E853" s="2">
        <v>25004838</v>
      </c>
      <c r="F853" s="2">
        <v>1</v>
      </c>
      <c r="G853" t="s">
        <v>1449</v>
      </c>
      <c r="H853" t="s">
        <v>1131</v>
      </c>
      <c r="I853" t="s">
        <v>1647</v>
      </c>
      <c r="J853" t="s">
        <v>1324</v>
      </c>
      <c r="K853" s="3">
        <v>1</v>
      </c>
      <c r="L853" s="4">
        <v>10.5</v>
      </c>
      <c r="O853" t="s">
        <v>2</v>
      </c>
      <c r="P853" t="s">
        <v>918</v>
      </c>
      <c r="Q853" s="2">
        <v>0</v>
      </c>
      <c r="R853" s="5">
        <v>10.5</v>
      </c>
      <c r="S853" s="5">
        <v>0</v>
      </c>
      <c r="T853" s="2">
        <v>11</v>
      </c>
      <c r="U853" t="s">
        <v>3</v>
      </c>
      <c r="V853" t="s">
        <v>1322</v>
      </c>
      <c r="W853" s="5">
        <v>8.82</v>
      </c>
    </row>
    <row r="854" spans="1:23" ht="15" x14ac:dyDescent="0.2">
      <c r="A854" t="s">
        <v>1009</v>
      </c>
      <c r="B854" s="1">
        <f>45926</f>
        <v>45926</v>
      </c>
      <c r="C854" t="s">
        <v>0</v>
      </c>
      <c r="D854">
        <v>108108</v>
      </c>
      <c r="E854" s="2">
        <v>25004839</v>
      </c>
      <c r="F854" s="2">
        <v>1</v>
      </c>
      <c r="G854" t="s">
        <v>1503</v>
      </c>
      <c r="H854" t="s">
        <v>1184</v>
      </c>
      <c r="I854" t="s">
        <v>1978</v>
      </c>
      <c r="J854" t="s">
        <v>1324</v>
      </c>
      <c r="K854" s="3">
        <v>1</v>
      </c>
      <c r="L854" s="4">
        <v>27.9</v>
      </c>
      <c r="O854" t="s">
        <v>2</v>
      </c>
      <c r="P854" t="s">
        <v>919</v>
      </c>
      <c r="Q854" s="2">
        <v>0</v>
      </c>
      <c r="R854" s="5">
        <v>27.9</v>
      </c>
      <c r="S854" s="5">
        <v>0</v>
      </c>
      <c r="T854" s="2">
        <v>28</v>
      </c>
      <c r="U854" t="s">
        <v>3</v>
      </c>
      <c r="V854" t="s">
        <v>318</v>
      </c>
      <c r="W854" s="5">
        <v>23.45</v>
      </c>
    </row>
    <row r="855" spans="1:23" ht="15" x14ac:dyDescent="0.2">
      <c r="A855" t="s">
        <v>1009</v>
      </c>
      <c r="B855" s="1">
        <f>45926</f>
        <v>45926</v>
      </c>
      <c r="C855" t="s">
        <v>0</v>
      </c>
      <c r="D855">
        <v>108108</v>
      </c>
      <c r="E855" s="2">
        <v>25004840</v>
      </c>
      <c r="F855" s="2">
        <v>1</v>
      </c>
      <c r="G855" t="s">
        <v>1335</v>
      </c>
      <c r="H855" t="s">
        <v>1017</v>
      </c>
      <c r="I855" t="s">
        <v>1979</v>
      </c>
      <c r="J855" t="s">
        <v>1324</v>
      </c>
      <c r="K855" s="3">
        <v>1</v>
      </c>
      <c r="L855" s="4">
        <v>26.9</v>
      </c>
      <c r="O855" t="s">
        <v>2</v>
      </c>
      <c r="P855" t="s">
        <v>920</v>
      </c>
      <c r="Q855" s="2">
        <v>0</v>
      </c>
      <c r="R855" s="5">
        <v>26.9</v>
      </c>
      <c r="S855" s="5">
        <v>0</v>
      </c>
      <c r="T855" s="2">
        <v>27</v>
      </c>
      <c r="U855" t="s">
        <v>3</v>
      </c>
      <c r="V855" t="s">
        <v>319</v>
      </c>
      <c r="W855" s="5">
        <v>22.61</v>
      </c>
    </row>
    <row r="856" spans="1:23" ht="15" x14ac:dyDescent="0.2">
      <c r="A856" t="s">
        <v>1009</v>
      </c>
      <c r="B856" s="1">
        <f>45926</f>
        <v>45926</v>
      </c>
      <c r="C856" t="s">
        <v>0</v>
      </c>
      <c r="D856">
        <v>108108</v>
      </c>
      <c r="E856" s="2">
        <v>25004841</v>
      </c>
      <c r="F856" s="2">
        <v>1</v>
      </c>
      <c r="G856" t="s">
        <v>1363</v>
      </c>
      <c r="H856" t="s">
        <v>1045</v>
      </c>
      <c r="I856" t="s">
        <v>1967</v>
      </c>
      <c r="J856" t="s">
        <v>1324</v>
      </c>
      <c r="K856" s="3">
        <v>1</v>
      </c>
      <c r="L856" s="4">
        <v>32</v>
      </c>
      <c r="O856" t="s">
        <v>2</v>
      </c>
      <c r="P856" t="s">
        <v>921</v>
      </c>
      <c r="Q856" s="2">
        <v>0</v>
      </c>
      <c r="R856" s="5">
        <v>32</v>
      </c>
      <c r="S856" s="5">
        <v>0</v>
      </c>
      <c r="T856" s="2">
        <v>32</v>
      </c>
      <c r="U856" t="s">
        <v>3</v>
      </c>
      <c r="V856" t="s">
        <v>309</v>
      </c>
      <c r="W856" s="5">
        <v>26.89</v>
      </c>
    </row>
    <row r="857" spans="1:23" ht="15" x14ac:dyDescent="0.2">
      <c r="A857" t="s">
        <v>1009</v>
      </c>
      <c r="B857" s="1">
        <f>45926</f>
        <v>45926</v>
      </c>
      <c r="C857" t="s">
        <v>0</v>
      </c>
      <c r="D857">
        <v>108108</v>
      </c>
      <c r="E857" s="2">
        <v>25004842</v>
      </c>
      <c r="F857" s="2">
        <v>1</v>
      </c>
      <c r="G857" t="s">
        <v>1515</v>
      </c>
      <c r="H857" t="s">
        <v>1012</v>
      </c>
      <c r="I857" t="s">
        <v>1647</v>
      </c>
      <c r="J857" t="s">
        <v>1324</v>
      </c>
      <c r="K857" s="3">
        <v>1</v>
      </c>
      <c r="L857" s="4">
        <v>36.9</v>
      </c>
      <c r="O857" t="s">
        <v>2</v>
      </c>
      <c r="P857" t="s">
        <v>922</v>
      </c>
      <c r="Q857" s="2">
        <v>0</v>
      </c>
      <c r="R857" s="5">
        <v>36.9</v>
      </c>
      <c r="S857" s="5">
        <v>0</v>
      </c>
      <c r="T857" s="2">
        <v>37</v>
      </c>
      <c r="U857" t="s">
        <v>3</v>
      </c>
      <c r="V857" t="s">
        <v>1322</v>
      </c>
      <c r="W857" s="5">
        <v>31.01</v>
      </c>
    </row>
    <row r="858" spans="1:23" ht="15" x14ac:dyDescent="0.2">
      <c r="A858" t="s">
        <v>1009</v>
      </c>
      <c r="B858" s="1">
        <f>45926</f>
        <v>45926</v>
      </c>
      <c r="C858" t="s">
        <v>0</v>
      </c>
      <c r="D858">
        <v>108108</v>
      </c>
      <c r="E858" s="2">
        <v>25004843</v>
      </c>
      <c r="F858" s="2">
        <v>1</v>
      </c>
      <c r="G858" t="s">
        <v>1423</v>
      </c>
      <c r="H858" t="s">
        <v>1105</v>
      </c>
      <c r="I858" t="s">
        <v>1647</v>
      </c>
      <c r="J858" t="s">
        <v>1324</v>
      </c>
      <c r="K858" s="3">
        <v>1</v>
      </c>
      <c r="L858" s="4">
        <v>24.9</v>
      </c>
      <c r="O858" t="s">
        <v>2</v>
      </c>
      <c r="P858" t="s">
        <v>923</v>
      </c>
      <c r="Q858" s="2">
        <v>0</v>
      </c>
      <c r="R858" s="5">
        <v>24.9</v>
      </c>
      <c r="S858" s="5">
        <v>0</v>
      </c>
      <c r="T858" s="2">
        <v>25</v>
      </c>
      <c r="U858" t="s">
        <v>3</v>
      </c>
      <c r="V858" t="s">
        <v>1322</v>
      </c>
      <c r="W858" s="5">
        <v>20.92</v>
      </c>
    </row>
    <row r="859" spans="1:23" ht="15" x14ac:dyDescent="0.2">
      <c r="A859" t="s">
        <v>1009</v>
      </c>
      <c r="B859" s="1">
        <f>45926</f>
        <v>45926</v>
      </c>
      <c r="C859" t="s">
        <v>0</v>
      </c>
      <c r="D859">
        <v>108108</v>
      </c>
      <c r="E859" s="2">
        <v>25004844</v>
      </c>
      <c r="F859" s="2">
        <v>1</v>
      </c>
      <c r="G859" t="s">
        <v>1393</v>
      </c>
      <c r="H859" t="s">
        <v>1075</v>
      </c>
      <c r="I859" t="s">
        <v>1955</v>
      </c>
      <c r="J859" t="s">
        <v>1324</v>
      </c>
      <c r="K859" s="3">
        <v>1</v>
      </c>
      <c r="L859" s="4">
        <v>33</v>
      </c>
      <c r="O859" t="s">
        <v>2</v>
      </c>
      <c r="P859" t="s">
        <v>924</v>
      </c>
      <c r="Q859" s="2">
        <v>0</v>
      </c>
      <c r="R859" s="5">
        <v>33</v>
      </c>
      <c r="S859" s="5">
        <v>0</v>
      </c>
      <c r="T859" s="2">
        <v>33</v>
      </c>
      <c r="U859" t="s">
        <v>3</v>
      </c>
      <c r="V859" t="s">
        <v>298</v>
      </c>
      <c r="W859" s="5">
        <v>27.73</v>
      </c>
    </row>
    <row r="860" spans="1:23" ht="15" x14ac:dyDescent="0.2">
      <c r="A860" t="s">
        <v>1009</v>
      </c>
      <c r="B860" s="1">
        <f>45926</f>
        <v>45926</v>
      </c>
      <c r="C860" t="s">
        <v>0</v>
      </c>
      <c r="D860">
        <v>108108</v>
      </c>
      <c r="E860" s="2">
        <v>25004845</v>
      </c>
      <c r="F860" s="2">
        <v>1</v>
      </c>
      <c r="G860" t="s">
        <v>1352</v>
      </c>
      <c r="H860" t="s">
        <v>1034</v>
      </c>
      <c r="I860" t="s">
        <v>1647</v>
      </c>
      <c r="J860" t="s">
        <v>1324</v>
      </c>
      <c r="K860" s="3">
        <v>1</v>
      </c>
      <c r="L860" s="4">
        <v>9.9</v>
      </c>
      <c r="O860" t="s">
        <v>2</v>
      </c>
      <c r="P860" t="s">
        <v>925</v>
      </c>
      <c r="Q860" s="2">
        <v>0</v>
      </c>
      <c r="R860" s="5">
        <v>9.9</v>
      </c>
      <c r="S860" s="5">
        <v>0</v>
      </c>
      <c r="T860" s="2">
        <v>10</v>
      </c>
      <c r="U860" t="s">
        <v>3</v>
      </c>
      <c r="V860" t="s">
        <v>1322</v>
      </c>
      <c r="W860" s="5">
        <v>8.32</v>
      </c>
    </row>
    <row r="861" spans="1:23" ht="15" x14ac:dyDescent="0.2">
      <c r="A861" t="s">
        <v>1009</v>
      </c>
      <c r="B861" s="1">
        <f>45926</f>
        <v>45926</v>
      </c>
      <c r="C861" t="s">
        <v>0</v>
      </c>
      <c r="D861">
        <v>108108</v>
      </c>
      <c r="E861" s="2">
        <v>25004846</v>
      </c>
      <c r="F861" s="2">
        <v>1</v>
      </c>
      <c r="G861" t="s">
        <v>1393</v>
      </c>
      <c r="H861" t="s">
        <v>1075</v>
      </c>
      <c r="I861" t="s">
        <v>1977</v>
      </c>
      <c r="J861" t="s">
        <v>1324</v>
      </c>
      <c r="K861" s="3">
        <v>-1</v>
      </c>
      <c r="L861" s="4">
        <v>-33</v>
      </c>
      <c r="O861" t="s">
        <v>2</v>
      </c>
      <c r="P861" t="s">
        <v>926</v>
      </c>
      <c r="Q861" s="2">
        <v>0</v>
      </c>
      <c r="R861" s="5">
        <v>33</v>
      </c>
      <c r="S861" s="5">
        <v>0</v>
      </c>
      <c r="T861" s="2">
        <v>33</v>
      </c>
      <c r="U861" t="s">
        <v>3</v>
      </c>
      <c r="V861" t="s">
        <v>317</v>
      </c>
      <c r="W861" s="5">
        <v>-1.68</v>
      </c>
    </row>
    <row r="862" spans="1:23" ht="15" x14ac:dyDescent="0.2">
      <c r="A862" t="s">
        <v>1009</v>
      </c>
      <c r="B862" s="1">
        <f>45926</f>
        <v>45926</v>
      </c>
      <c r="C862" t="s">
        <v>0</v>
      </c>
      <c r="D862">
        <v>108108</v>
      </c>
      <c r="E862" s="2">
        <v>25004846</v>
      </c>
      <c r="F862" s="2">
        <v>2</v>
      </c>
      <c r="G862" t="s">
        <v>1547</v>
      </c>
      <c r="H862" t="s">
        <v>1226</v>
      </c>
      <c r="I862" t="s">
        <v>1977</v>
      </c>
      <c r="J862" t="s">
        <v>1324</v>
      </c>
      <c r="K862" s="3">
        <v>1</v>
      </c>
      <c r="L862" s="4">
        <v>31</v>
      </c>
      <c r="O862" t="s">
        <v>2</v>
      </c>
      <c r="P862" t="s">
        <v>926</v>
      </c>
      <c r="Q862" s="2">
        <v>0</v>
      </c>
      <c r="R862" s="5">
        <v>31</v>
      </c>
      <c r="S862" s="5">
        <v>0</v>
      </c>
      <c r="T862" s="2">
        <v>31</v>
      </c>
      <c r="U862" t="s">
        <v>3</v>
      </c>
      <c r="V862" t="s">
        <v>317</v>
      </c>
      <c r="W862" s="5">
        <v>-1.68</v>
      </c>
    </row>
    <row r="863" spans="1:23" ht="15" x14ac:dyDescent="0.2">
      <c r="A863" t="s">
        <v>1009</v>
      </c>
      <c r="B863" s="1">
        <f>45926</f>
        <v>45926</v>
      </c>
      <c r="C863" t="s">
        <v>0</v>
      </c>
      <c r="D863">
        <v>108108</v>
      </c>
      <c r="E863" s="2">
        <v>25004847</v>
      </c>
      <c r="F863" s="2">
        <v>1</v>
      </c>
      <c r="G863" t="s">
        <v>1355</v>
      </c>
      <c r="H863" t="s">
        <v>1037</v>
      </c>
      <c r="I863" t="s">
        <v>1980</v>
      </c>
      <c r="J863" t="s">
        <v>1324</v>
      </c>
      <c r="K863" s="3">
        <v>1</v>
      </c>
      <c r="L863" s="4">
        <v>225</v>
      </c>
      <c r="O863" t="s">
        <v>2</v>
      </c>
      <c r="P863" t="s">
        <v>927</v>
      </c>
      <c r="Q863" s="2">
        <v>0</v>
      </c>
      <c r="R863" s="5">
        <v>225</v>
      </c>
      <c r="S863" s="5">
        <v>0</v>
      </c>
      <c r="T863" s="2">
        <v>225</v>
      </c>
      <c r="U863" t="s">
        <v>3</v>
      </c>
      <c r="V863" t="s">
        <v>320</v>
      </c>
      <c r="W863" s="5">
        <v>189.08</v>
      </c>
    </row>
    <row r="864" spans="1:23" ht="15" x14ac:dyDescent="0.2">
      <c r="A864" t="s">
        <v>1009</v>
      </c>
      <c r="B864" s="1">
        <f>45926</f>
        <v>45926</v>
      </c>
      <c r="C864" t="s">
        <v>0</v>
      </c>
      <c r="D864">
        <v>108108</v>
      </c>
      <c r="E864" s="2">
        <v>25004848</v>
      </c>
      <c r="F864" s="2">
        <v>1</v>
      </c>
      <c r="G864" t="s">
        <v>1630</v>
      </c>
      <c r="H864" t="s">
        <v>1307</v>
      </c>
      <c r="I864" t="s">
        <v>1647</v>
      </c>
      <c r="J864" t="s">
        <v>1324</v>
      </c>
      <c r="K864" s="3">
        <v>1</v>
      </c>
      <c r="L864" s="4">
        <v>26.9</v>
      </c>
      <c r="O864" t="s">
        <v>2</v>
      </c>
      <c r="P864" t="s">
        <v>928</v>
      </c>
      <c r="Q864" s="2">
        <v>0</v>
      </c>
      <c r="R864" s="5">
        <v>26.9</v>
      </c>
      <c r="S864" s="5">
        <v>0</v>
      </c>
      <c r="T864" s="2">
        <v>27</v>
      </c>
      <c r="U864" t="s">
        <v>3</v>
      </c>
      <c r="V864" t="s">
        <v>1322</v>
      </c>
      <c r="W864" s="5">
        <v>22.61</v>
      </c>
    </row>
    <row r="865" spans="1:23" ht="15" x14ac:dyDescent="0.2">
      <c r="A865" t="s">
        <v>1009</v>
      </c>
      <c r="B865" s="1">
        <f>45926</f>
        <v>45926</v>
      </c>
      <c r="C865" t="s">
        <v>0</v>
      </c>
      <c r="D865">
        <v>108108</v>
      </c>
      <c r="E865" s="2">
        <v>25004849</v>
      </c>
      <c r="F865" s="2">
        <v>1</v>
      </c>
      <c r="G865" t="s">
        <v>1646</v>
      </c>
      <c r="H865" t="s">
        <v>361</v>
      </c>
      <c r="I865" t="s">
        <v>1647</v>
      </c>
      <c r="J865" t="s">
        <v>1324</v>
      </c>
      <c r="K865" s="3">
        <v>1</v>
      </c>
      <c r="L865" s="4">
        <v>-450</v>
      </c>
      <c r="Q865" s="2">
        <v>0</v>
      </c>
      <c r="R865" s="5">
        <v>-450</v>
      </c>
      <c r="S865" s="5">
        <v>0</v>
      </c>
      <c r="T865" s="2">
        <v>-450</v>
      </c>
      <c r="U865" t="s">
        <v>1</v>
      </c>
      <c r="V865" t="s">
        <v>361</v>
      </c>
      <c r="W865" s="5">
        <v>-450</v>
      </c>
    </row>
    <row r="866" spans="1:23" ht="15" x14ac:dyDescent="0.2">
      <c r="A866" t="s">
        <v>1009</v>
      </c>
      <c r="B866" s="1">
        <f>45927</f>
        <v>45927</v>
      </c>
      <c r="C866" t="s">
        <v>0</v>
      </c>
      <c r="D866">
        <v>108108</v>
      </c>
      <c r="E866" s="2">
        <v>25004850</v>
      </c>
      <c r="F866" s="2">
        <v>1</v>
      </c>
      <c r="G866" t="s">
        <v>1646</v>
      </c>
      <c r="H866" t="s">
        <v>361</v>
      </c>
      <c r="I866" t="s">
        <v>1647</v>
      </c>
      <c r="J866" t="s">
        <v>1323</v>
      </c>
      <c r="K866" s="3">
        <v>1</v>
      </c>
      <c r="L866" s="4">
        <v>450</v>
      </c>
      <c r="Q866" s="2">
        <v>0</v>
      </c>
      <c r="R866" s="5">
        <v>450</v>
      </c>
      <c r="S866" s="5">
        <v>0</v>
      </c>
      <c r="T866" s="2">
        <v>450</v>
      </c>
      <c r="U866" t="s">
        <v>1</v>
      </c>
      <c r="V866" t="s">
        <v>361</v>
      </c>
      <c r="W866" s="5">
        <v>450</v>
      </c>
    </row>
    <row r="867" spans="1:23" ht="15" x14ac:dyDescent="0.2">
      <c r="A867" t="s">
        <v>1009</v>
      </c>
      <c r="B867" s="1">
        <f>45927</f>
        <v>45927</v>
      </c>
      <c r="C867" t="s">
        <v>0</v>
      </c>
      <c r="D867">
        <v>108108</v>
      </c>
      <c r="E867" s="2">
        <v>25004851</v>
      </c>
      <c r="F867" s="2">
        <v>1</v>
      </c>
      <c r="G867" t="s">
        <v>1339</v>
      </c>
      <c r="H867" t="s">
        <v>1021</v>
      </c>
      <c r="I867" t="s">
        <v>1925</v>
      </c>
      <c r="J867" t="s">
        <v>1323</v>
      </c>
      <c r="K867" s="3">
        <v>1</v>
      </c>
      <c r="L867" s="4">
        <v>24</v>
      </c>
      <c r="O867" t="s">
        <v>2</v>
      </c>
      <c r="P867" t="s">
        <v>929</v>
      </c>
      <c r="Q867" s="2">
        <v>0</v>
      </c>
      <c r="R867" s="5">
        <v>24</v>
      </c>
      <c r="S867" s="5">
        <v>0</v>
      </c>
      <c r="T867" s="2">
        <v>24</v>
      </c>
      <c r="U867" t="s">
        <v>3</v>
      </c>
      <c r="V867" t="s">
        <v>270</v>
      </c>
      <c r="W867" s="5">
        <v>107.48</v>
      </c>
    </row>
    <row r="868" spans="1:23" ht="15" x14ac:dyDescent="0.2">
      <c r="A868" t="s">
        <v>1009</v>
      </c>
      <c r="B868" s="1">
        <f>45927</f>
        <v>45927</v>
      </c>
      <c r="C868" t="s">
        <v>0</v>
      </c>
      <c r="D868">
        <v>108108</v>
      </c>
      <c r="E868" s="2">
        <v>25004851</v>
      </c>
      <c r="F868" s="2">
        <v>2</v>
      </c>
      <c r="G868" t="s">
        <v>1424</v>
      </c>
      <c r="H868" t="s">
        <v>1106</v>
      </c>
      <c r="I868" t="s">
        <v>1925</v>
      </c>
      <c r="J868" t="s">
        <v>1323</v>
      </c>
      <c r="K868" s="3">
        <v>1</v>
      </c>
      <c r="L868" s="4">
        <v>80</v>
      </c>
      <c r="O868" t="s">
        <v>2</v>
      </c>
      <c r="P868" t="s">
        <v>929</v>
      </c>
      <c r="Q868" s="2">
        <v>0</v>
      </c>
      <c r="R868" s="5">
        <v>80</v>
      </c>
      <c r="S868" s="5">
        <v>0</v>
      </c>
      <c r="T868" s="2">
        <v>80</v>
      </c>
      <c r="U868" t="s">
        <v>3</v>
      </c>
      <c r="V868" t="s">
        <v>270</v>
      </c>
      <c r="W868" s="5">
        <v>107.48</v>
      </c>
    </row>
    <row r="869" spans="1:23" ht="15" x14ac:dyDescent="0.2">
      <c r="A869" t="s">
        <v>1009</v>
      </c>
      <c r="B869" s="1">
        <f>45927</f>
        <v>45927</v>
      </c>
      <c r="C869" t="s">
        <v>0</v>
      </c>
      <c r="D869">
        <v>108108</v>
      </c>
      <c r="E869" s="2">
        <v>25004851</v>
      </c>
      <c r="F869" s="2">
        <v>3</v>
      </c>
      <c r="G869" t="s">
        <v>1548</v>
      </c>
      <c r="H869" t="s">
        <v>1227</v>
      </c>
      <c r="I869" t="s">
        <v>1925</v>
      </c>
      <c r="J869" t="s">
        <v>1323</v>
      </c>
      <c r="K869" s="3">
        <v>1</v>
      </c>
      <c r="L869" s="4">
        <v>23.9</v>
      </c>
      <c r="O869" t="s">
        <v>2</v>
      </c>
      <c r="P869" t="s">
        <v>929</v>
      </c>
      <c r="Q869" s="2">
        <v>0</v>
      </c>
      <c r="R869" s="5">
        <v>23.9</v>
      </c>
      <c r="S869" s="5">
        <v>0</v>
      </c>
      <c r="T869" s="2">
        <v>24</v>
      </c>
      <c r="U869" t="s">
        <v>3</v>
      </c>
      <c r="V869" t="s">
        <v>270</v>
      </c>
      <c r="W869" s="5">
        <v>107.48</v>
      </c>
    </row>
    <row r="870" spans="1:23" ht="15" x14ac:dyDescent="0.2">
      <c r="A870" t="s">
        <v>1009</v>
      </c>
      <c r="B870" s="1">
        <f>45927</f>
        <v>45927</v>
      </c>
      <c r="C870" t="s">
        <v>0</v>
      </c>
      <c r="D870">
        <v>108108</v>
      </c>
      <c r="E870" s="2">
        <v>25004852</v>
      </c>
      <c r="F870" s="2">
        <v>1</v>
      </c>
      <c r="G870" t="s">
        <v>1558</v>
      </c>
      <c r="H870" t="s">
        <v>1237</v>
      </c>
      <c r="I870" t="s">
        <v>1981</v>
      </c>
      <c r="J870" t="s">
        <v>1323</v>
      </c>
      <c r="K870" s="3">
        <v>1</v>
      </c>
      <c r="L870" s="4">
        <v>28.9</v>
      </c>
      <c r="O870" t="s">
        <v>2</v>
      </c>
      <c r="P870" t="s">
        <v>930</v>
      </c>
      <c r="Q870" s="2">
        <v>0</v>
      </c>
      <c r="R870" s="5">
        <v>28.9</v>
      </c>
      <c r="S870" s="5">
        <v>0</v>
      </c>
      <c r="T870" s="2">
        <v>29</v>
      </c>
      <c r="U870" t="s">
        <v>3</v>
      </c>
      <c r="V870" t="s">
        <v>321</v>
      </c>
      <c r="W870" s="5">
        <v>24.29</v>
      </c>
    </row>
    <row r="871" spans="1:23" ht="15" x14ac:dyDescent="0.2">
      <c r="A871" t="s">
        <v>1009</v>
      </c>
      <c r="B871" s="1">
        <f>45927</f>
        <v>45927</v>
      </c>
      <c r="C871" t="s">
        <v>0</v>
      </c>
      <c r="D871">
        <v>108108</v>
      </c>
      <c r="E871" s="2">
        <v>25004853</v>
      </c>
      <c r="F871" s="2">
        <v>1</v>
      </c>
      <c r="G871" t="s">
        <v>1631</v>
      </c>
      <c r="H871" t="s">
        <v>1308</v>
      </c>
      <c r="I871" t="s">
        <v>1982</v>
      </c>
      <c r="J871" t="s">
        <v>1323</v>
      </c>
      <c r="K871" s="3">
        <v>1</v>
      </c>
      <c r="L871" s="4">
        <v>6</v>
      </c>
      <c r="O871" t="s">
        <v>2</v>
      </c>
      <c r="P871" t="s">
        <v>931</v>
      </c>
      <c r="Q871" s="2">
        <v>0</v>
      </c>
      <c r="R871" s="5">
        <v>6</v>
      </c>
      <c r="S871" s="5">
        <v>0</v>
      </c>
      <c r="T871" s="2">
        <v>6</v>
      </c>
      <c r="U871" t="s">
        <v>3</v>
      </c>
      <c r="V871" t="s">
        <v>97</v>
      </c>
      <c r="W871" s="5">
        <v>5.04</v>
      </c>
    </row>
    <row r="872" spans="1:23" ht="15" x14ac:dyDescent="0.2">
      <c r="A872" t="s">
        <v>1009</v>
      </c>
      <c r="B872" s="1">
        <f>45927</f>
        <v>45927</v>
      </c>
      <c r="C872" t="s">
        <v>0</v>
      </c>
      <c r="D872">
        <v>108108</v>
      </c>
      <c r="E872" s="2">
        <v>25004854</v>
      </c>
      <c r="F872" s="2">
        <v>1</v>
      </c>
      <c r="G872" t="s">
        <v>1632</v>
      </c>
      <c r="H872" t="s">
        <v>1309</v>
      </c>
      <c r="I872" t="s">
        <v>1648</v>
      </c>
      <c r="J872" t="s">
        <v>1323</v>
      </c>
      <c r="K872" s="3">
        <v>1</v>
      </c>
      <c r="L872" s="4">
        <v>120</v>
      </c>
      <c r="O872" t="s">
        <v>2</v>
      </c>
      <c r="P872" t="s">
        <v>932</v>
      </c>
      <c r="Q872" s="2">
        <v>0</v>
      </c>
      <c r="R872" s="5">
        <v>120</v>
      </c>
      <c r="S872" s="5">
        <v>0</v>
      </c>
      <c r="T872" s="2">
        <v>120</v>
      </c>
      <c r="U872" t="s">
        <v>3</v>
      </c>
      <c r="V872" t="s">
        <v>4</v>
      </c>
      <c r="W872" s="5">
        <v>100.84</v>
      </c>
    </row>
    <row r="873" spans="1:23" ht="15" x14ac:dyDescent="0.2">
      <c r="A873" t="s">
        <v>1009</v>
      </c>
      <c r="B873" s="1">
        <f>45927</f>
        <v>45927</v>
      </c>
      <c r="C873" t="s">
        <v>0</v>
      </c>
      <c r="D873">
        <v>108108</v>
      </c>
      <c r="E873" s="2">
        <v>25004855</v>
      </c>
      <c r="F873" s="2">
        <v>1</v>
      </c>
      <c r="G873" t="s">
        <v>1369</v>
      </c>
      <c r="H873" t="s">
        <v>1051</v>
      </c>
      <c r="I873" t="s">
        <v>1960</v>
      </c>
      <c r="J873" t="s">
        <v>1323</v>
      </c>
      <c r="K873" s="3">
        <v>1</v>
      </c>
      <c r="L873" s="4">
        <v>9.9</v>
      </c>
      <c r="O873" t="s">
        <v>2</v>
      </c>
      <c r="P873" t="s">
        <v>933</v>
      </c>
      <c r="Q873" s="2">
        <v>0</v>
      </c>
      <c r="R873" s="5">
        <v>9.9</v>
      </c>
      <c r="S873" s="5">
        <v>0</v>
      </c>
      <c r="T873" s="2">
        <v>10</v>
      </c>
      <c r="U873" t="s">
        <v>3</v>
      </c>
      <c r="V873" t="s">
        <v>302</v>
      </c>
      <c r="W873" s="5">
        <v>28.4</v>
      </c>
    </row>
    <row r="874" spans="1:23" ht="15" x14ac:dyDescent="0.2">
      <c r="A874" t="s">
        <v>1009</v>
      </c>
      <c r="B874" s="1">
        <f>45927</f>
        <v>45927</v>
      </c>
      <c r="C874" t="s">
        <v>0</v>
      </c>
      <c r="D874">
        <v>108108</v>
      </c>
      <c r="E874" s="2">
        <v>25004855</v>
      </c>
      <c r="F874" s="2">
        <v>2</v>
      </c>
      <c r="G874" t="s">
        <v>1336</v>
      </c>
      <c r="H874" t="s">
        <v>1018</v>
      </c>
      <c r="I874" t="s">
        <v>1960</v>
      </c>
      <c r="J874" t="s">
        <v>1323</v>
      </c>
      <c r="K874" s="3">
        <v>1</v>
      </c>
      <c r="L874" s="4">
        <v>23.9</v>
      </c>
      <c r="O874" t="s">
        <v>2</v>
      </c>
      <c r="P874" t="s">
        <v>933</v>
      </c>
      <c r="Q874" s="2">
        <v>0</v>
      </c>
      <c r="R874" s="5">
        <v>23.9</v>
      </c>
      <c r="S874" s="5">
        <v>0</v>
      </c>
      <c r="T874" s="2">
        <v>24</v>
      </c>
      <c r="U874" t="s">
        <v>3</v>
      </c>
      <c r="V874" t="s">
        <v>302</v>
      </c>
      <c r="W874" s="5">
        <v>28.4</v>
      </c>
    </row>
    <row r="875" spans="1:23" ht="15" x14ac:dyDescent="0.2">
      <c r="A875" t="s">
        <v>1009</v>
      </c>
      <c r="B875" s="1">
        <f>45927</f>
        <v>45927</v>
      </c>
      <c r="C875" t="s">
        <v>0</v>
      </c>
      <c r="D875">
        <v>108108</v>
      </c>
      <c r="E875" s="2">
        <v>25004856</v>
      </c>
      <c r="F875" s="2">
        <v>1</v>
      </c>
      <c r="G875" t="s">
        <v>1633</v>
      </c>
      <c r="H875" t="s">
        <v>1281</v>
      </c>
      <c r="I875" t="s">
        <v>1983</v>
      </c>
      <c r="J875" t="s">
        <v>1323</v>
      </c>
      <c r="K875" s="3">
        <v>1</v>
      </c>
      <c r="L875" s="4">
        <v>11.45</v>
      </c>
      <c r="O875" t="s">
        <v>2</v>
      </c>
      <c r="P875" t="s">
        <v>934</v>
      </c>
      <c r="Q875" s="2">
        <v>50</v>
      </c>
      <c r="R875" s="5">
        <v>22.9</v>
      </c>
      <c r="S875" s="5">
        <v>11.45</v>
      </c>
      <c r="T875" s="2">
        <v>11</v>
      </c>
      <c r="U875" t="s">
        <v>3</v>
      </c>
      <c r="V875" t="s">
        <v>322</v>
      </c>
      <c r="W875" s="5">
        <v>9.6199999999999992</v>
      </c>
    </row>
    <row r="876" spans="1:23" ht="15" x14ac:dyDescent="0.2">
      <c r="A876" t="s">
        <v>1009</v>
      </c>
      <c r="B876" s="1">
        <f>45927</f>
        <v>45927</v>
      </c>
      <c r="C876" t="s">
        <v>0</v>
      </c>
      <c r="D876">
        <v>108108</v>
      </c>
      <c r="E876" s="2">
        <v>25004857</v>
      </c>
      <c r="F876" s="2">
        <v>1</v>
      </c>
      <c r="G876" t="s">
        <v>1385</v>
      </c>
      <c r="H876" t="s">
        <v>1067</v>
      </c>
      <c r="I876" t="s">
        <v>1964</v>
      </c>
      <c r="J876" t="s">
        <v>1323</v>
      </c>
      <c r="K876" s="3">
        <v>1</v>
      </c>
      <c r="L876" s="4">
        <v>24</v>
      </c>
      <c r="O876" t="s">
        <v>2</v>
      </c>
      <c r="P876" t="s">
        <v>935</v>
      </c>
      <c r="Q876" s="2">
        <v>0</v>
      </c>
      <c r="R876" s="5">
        <v>24</v>
      </c>
      <c r="S876" s="5">
        <v>0</v>
      </c>
      <c r="T876" s="2">
        <v>24</v>
      </c>
      <c r="U876" t="s">
        <v>3</v>
      </c>
      <c r="V876" t="s">
        <v>306</v>
      </c>
      <c r="W876" s="5">
        <v>20.170000000000002</v>
      </c>
    </row>
    <row r="877" spans="1:23" ht="15" x14ac:dyDescent="0.2">
      <c r="A877" t="s">
        <v>1009</v>
      </c>
      <c r="B877" s="1">
        <f>45927</f>
        <v>45927</v>
      </c>
      <c r="C877" t="s">
        <v>0</v>
      </c>
      <c r="D877">
        <v>108108</v>
      </c>
      <c r="E877" s="2">
        <v>25004858</v>
      </c>
      <c r="F877" s="2">
        <v>1</v>
      </c>
      <c r="G877" t="s">
        <v>1363</v>
      </c>
      <c r="H877" t="s">
        <v>1045</v>
      </c>
      <c r="I877" t="s">
        <v>1984</v>
      </c>
      <c r="J877" t="s">
        <v>1323</v>
      </c>
      <c r="K877" s="3">
        <v>1</v>
      </c>
      <c r="L877" s="4">
        <v>32</v>
      </c>
      <c r="O877" t="s">
        <v>2</v>
      </c>
      <c r="P877" t="s">
        <v>936</v>
      </c>
      <c r="Q877" s="2">
        <v>0</v>
      </c>
      <c r="R877" s="5">
        <v>32</v>
      </c>
      <c r="S877" s="5">
        <v>0</v>
      </c>
      <c r="T877" s="2">
        <v>32</v>
      </c>
      <c r="U877" t="s">
        <v>3</v>
      </c>
      <c r="V877" t="s">
        <v>323</v>
      </c>
      <c r="W877" s="5">
        <v>26.89</v>
      </c>
    </row>
    <row r="878" spans="1:23" ht="15" x14ac:dyDescent="0.2">
      <c r="A878" t="s">
        <v>1009</v>
      </c>
      <c r="B878" s="1">
        <f>45927</f>
        <v>45927</v>
      </c>
      <c r="C878" t="s">
        <v>0</v>
      </c>
      <c r="D878">
        <v>108108</v>
      </c>
      <c r="E878" s="2">
        <v>25004859</v>
      </c>
      <c r="F878" s="2">
        <v>1</v>
      </c>
      <c r="G878" t="s">
        <v>1470</v>
      </c>
      <c r="H878" t="s">
        <v>1151</v>
      </c>
      <c r="I878" t="s">
        <v>1985</v>
      </c>
      <c r="J878" t="s">
        <v>1323</v>
      </c>
      <c r="K878" s="3">
        <v>1</v>
      </c>
      <c r="L878" s="4">
        <v>24.9</v>
      </c>
      <c r="O878" t="s">
        <v>2</v>
      </c>
      <c r="P878" t="s">
        <v>937</v>
      </c>
      <c r="Q878" s="2">
        <v>0</v>
      </c>
      <c r="R878" s="5">
        <v>24.9</v>
      </c>
      <c r="S878" s="5">
        <v>0</v>
      </c>
      <c r="T878" s="2">
        <v>25</v>
      </c>
      <c r="U878" t="s">
        <v>3</v>
      </c>
      <c r="V878" t="s">
        <v>324</v>
      </c>
      <c r="W878" s="5">
        <v>20.92</v>
      </c>
    </row>
    <row r="879" spans="1:23" ht="15" x14ac:dyDescent="0.2">
      <c r="A879" t="s">
        <v>1009</v>
      </c>
      <c r="B879" s="1">
        <f>45927</f>
        <v>45927</v>
      </c>
      <c r="C879" t="s">
        <v>0</v>
      </c>
      <c r="D879">
        <v>108108</v>
      </c>
      <c r="E879" s="2">
        <v>25004860</v>
      </c>
      <c r="F879" s="2">
        <v>1</v>
      </c>
      <c r="G879" t="s">
        <v>1460</v>
      </c>
      <c r="H879" t="s">
        <v>1142</v>
      </c>
      <c r="I879" t="s">
        <v>1897</v>
      </c>
      <c r="J879" t="s">
        <v>1323</v>
      </c>
      <c r="K879" s="3">
        <v>1</v>
      </c>
      <c r="L879" s="4">
        <v>23.9</v>
      </c>
      <c r="O879" t="s">
        <v>2</v>
      </c>
      <c r="P879" t="s">
        <v>938</v>
      </c>
      <c r="Q879" s="2">
        <v>0</v>
      </c>
      <c r="R879" s="5">
        <v>23.9</v>
      </c>
      <c r="S879" s="5">
        <v>0</v>
      </c>
      <c r="T879" s="2">
        <v>24</v>
      </c>
      <c r="U879" t="s">
        <v>3</v>
      </c>
      <c r="V879" t="s">
        <v>242</v>
      </c>
      <c r="W879" s="5">
        <v>20.079999999999998</v>
      </c>
    </row>
    <row r="880" spans="1:23" ht="15" x14ac:dyDescent="0.2">
      <c r="A880" t="s">
        <v>1009</v>
      </c>
      <c r="B880" s="1">
        <f>45927</f>
        <v>45927</v>
      </c>
      <c r="C880" t="s">
        <v>0</v>
      </c>
      <c r="D880">
        <v>108108</v>
      </c>
      <c r="E880" s="2">
        <v>25004861</v>
      </c>
      <c r="F880" s="2">
        <v>1</v>
      </c>
      <c r="G880" t="s">
        <v>1559</v>
      </c>
      <c r="H880" t="s">
        <v>1238</v>
      </c>
      <c r="I880" t="s">
        <v>1986</v>
      </c>
      <c r="J880" t="s">
        <v>1323</v>
      </c>
      <c r="K880" s="3">
        <v>1</v>
      </c>
      <c r="L880" s="4">
        <v>28.9</v>
      </c>
      <c r="O880" t="s">
        <v>2</v>
      </c>
      <c r="P880" t="s">
        <v>939</v>
      </c>
      <c r="Q880" s="2">
        <v>0</v>
      </c>
      <c r="R880" s="5">
        <v>28.9</v>
      </c>
      <c r="S880" s="5">
        <v>0</v>
      </c>
      <c r="T880" s="2">
        <v>29</v>
      </c>
      <c r="U880" t="s">
        <v>3</v>
      </c>
      <c r="V880" t="s">
        <v>325</v>
      </c>
      <c r="W880" s="5">
        <v>24.29</v>
      </c>
    </row>
    <row r="881" spans="1:23" ht="15" x14ac:dyDescent="0.2">
      <c r="A881" t="s">
        <v>1009</v>
      </c>
      <c r="B881" s="1">
        <f>45927</f>
        <v>45927</v>
      </c>
      <c r="C881" t="s">
        <v>0</v>
      </c>
      <c r="D881">
        <v>108108</v>
      </c>
      <c r="E881" s="2">
        <v>25004862</v>
      </c>
      <c r="F881" s="2">
        <v>1</v>
      </c>
      <c r="G881" t="s">
        <v>1357</v>
      </c>
      <c r="H881" t="s">
        <v>1039</v>
      </c>
      <c r="I881" t="s">
        <v>1987</v>
      </c>
      <c r="J881" t="s">
        <v>1323</v>
      </c>
      <c r="K881" s="3">
        <v>1</v>
      </c>
      <c r="L881" s="4">
        <v>21.9</v>
      </c>
      <c r="O881" t="s">
        <v>2</v>
      </c>
      <c r="P881" t="s">
        <v>940</v>
      </c>
      <c r="Q881" s="2">
        <v>0</v>
      </c>
      <c r="R881" s="5">
        <v>21.9</v>
      </c>
      <c r="S881" s="5">
        <v>0</v>
      </c>
      <c r="T881" s="2">
        <v>22</v>
      </c>
      <c r="U881" t="s">
        <v>3</v>
      </c>
      <c r="V881" t="s">
        <v>289</v>
      </c>
      <c r="W881" s="5">
        <v>26.72</v>
      </c>
    </row>
    <row r="882" spans="1:23" ht="15" x14ac:dyDescent="0.2">
      <c r="A882" t="s">
        <v>1009</v>
      </c>
      <c r="B882" s="1">
        <f>45927</f>
        <v>45927</v>
      </c>
      <c r="C882" t="s">
        <v>0</v>
      </c>
      <c r="D882">
        <v>108108</v>
      </c>
      <c r="E882" s="2">
        <v>25004862</v>
      </c>
      <c r="F882" s="2">
        <v>2</v>
      </c>
      <c r="G882" t="s">
        <v>1437</v>
      </c>
      <c r="H882" t="s">
        <v>1119</v>
      </c>
      <c r="I882" t="s">
        <v>1987</v>
      </c>
      <c r="J882" t="s">
        <v>1323</v>
      </c>
      <c r="K882" s="3">
        <v>1</v>
      </c>
      <c r="L882" s="4">
        <v>9.9</v>
      </c>
      <c r="O882" t="s">
        <v>2</v>
      </c>
      <c r="P882" t="s">
        <v>940</v>
      </c>
      <c r="Q882" s="2">
        <v>0</v>
      </c>
      <c r="R882" s="5">
        <v>9.9</v>
      </c>
      <c r="S882" s="5">
        <v>0</v>
      </c>
      <c r="T882" s="2">
        <v>10</v>
      </c>
      <c r="U882" t="s">
        <v>3</v>
      </c>
      <c r="V882" t="s">
        <v>289</v>
      </c>
      <c r="W882" s="5">
        <v>26.72</v>
      </c>
    </row>
    <row r="883" spans="1:23" ht="15" x14ac:dyDescent="0.2">
      <c r="A883" t="s">
        <v>1009</v>
      </c>
      <c r="B883" s="1">
        <f>45927</f>
        <v>45927</v>
      </c>
      <c r="C883" t="s">
        <v>0</v>
      </c>
      <c r="D883">
        <v>108108</v>
      </c>
      <c r="E883" s="2">
        <v>25004863</v>
      </c>
      <c r="F883" s="2">
        <v>1</v>
      </c>
      <c r="G883" t="s">
        <v>1349</v>
      </c>
      <c r="H883" t="s">
        <v>1031</v>
      </c>
      <c r="I883" t="s">
        <v>1988</v>
      </c>
      <c r="J883" t="s">
        <v>1323</v>
      </c>
      <c r="K883" s="3">
        <v>1</v>
      </c>
      <c r="L883" s="4">
        <v>21.9</v>
      </c>
      <c r="O883" t="s">
        <v>2</v>
      </c>
      <c r="P883" t="s">
        <v>941</v>
      </c>
      <c r="Q883" s="2">
        <v>0</v>
      </c>
      <c r="R883" s="5">
        <v>21.9</v>
      </c>
      <c r="S883" s="5">
        <v>0</v>
      </c>
      <c r="T883" s="2">
        <v>22</v>
      </c>
      <c r="U883" t="s">
        <v>3</v>
      </c>
      <c r="V883" t="s">
        <v>326</v>
      </c>
      <c r="W883" s="5">
        <v>18.399999999999999</v>
      </c>
    </row>
    <row r="884" spans="1:23" ht="15" x14ac:dyDescent="0.2">
      <c r="A884" t="s">
        <v>1009</v>
      </c>
      <c r="B884" s="1">
        <f>45927</f>
        <v>45927</v>
      </c>
      <c r="C884" t="s">
        <v>0</v>
      </c>
      <c r="D884">
        <v>108108</v>
      </c>
      <c r="E884" s="2">
        <v>25004864</v>
      </c>
      <c r="F884" s="2">
        <v>1</v>
      </c>
      <c r="G884" t="s">
        <v>1420</v>
      </c>
      <c r="H884" t="s">
        <v>1102</v>
      </c>
      <c r="I884" t="s">
        <v>1989</v>
      </c>
      <c r="J884" t="s">
        <v>1323</v>
      </c>
      <c r="K884" s="3">
        <v>1</v>
      </c>
      <c r="L884" s="4">
        <v>40.799999999999997</v>
      </c>
      <c r="O884" t="s">
        <v>2</v>
      </c>
      <c r="P884" t="s">
        <v>942</v>
      </c>
      <c r="Q884" s="2">
        <v>40</v>
      </c>
      <c r="R884" s="5">
        <v>68</v>
      </c>
      <c r="S884" s="5">
        <v>27.2</v>
      </c>
      <c r="T884" s="2">
        <v>41</v>
      </c>
      <c r="U884" t="s">
        <v>3</v>
      </c>
      <c r="V884" t="s">
        <v>327</v>
      </c>
      <c r="W884" s="5">
        <v>46.89</v>
      </c>
    </row>
    <row r="885" spans="1:23" ht="15" x14ac:dyDescent="0.2">
      <c r="A885" t="s">
        <v>1009</v>
      </c>
      <c r="B885" s="1">
        <f>45927</f>
        <v>45927</v>
      </c>
      <c r="C885" t="s">
        <v>0</v>
      </c>
      <c r="D885">
        <v>108108</v>
      </c>
      <c r="E885" s="2">
        <v>25004864</v>
      </c>
      <c r="F885" s="2">
        <v>2</v>
      </c>
      <c r="G885" t="s">
        <v>1480</v>
      </c>
      <c r="H885" t="s">
        <v>1161</v>
      </c>
      <c r="I885" t="s">
        <v>1989</v>
      </c>
      <c r="J885" t="s">
        <v>1323</v>
      </c>
      <c r="K885" s="3">
        <v>1</v>
      </c>
      <c r="L885" s="4">
        <v>9</v>
      </c>
      <c r="O885" t="s">
        <v>2</v>
      </c>
      <c r="P885" t="s">
        <v>942</v>
      </c>
      <c r="Q885" s="2">
        <v>40</v>
      </c>
      <c r="R885" s="5">
        <v>15</v>
      </c>
      <c r="S885" s="5">
        <v>6</v>
      </c>
      <c r="T885" s="2">
        <v>9</v>
      </c>
      <c r="U885" t="s">
        <v>3</v>
      </c>
      <c r="V885" t="s">
        <v>327</v>
      </c>
      <c r="W885" s="5">
        <v>46.89</v>
      </c>
    </row>
    <row r="886" spans="1:23" ht="15" x14ac:dyDescent="0.2">
      <c r="A886" t="s">
        <v>1009</v>
      </c>
      <c r="B886" s="1">
        <f>45927</f>
        <v>45927</v>
      </c>
      <c r="C886" t="s">
        <v>0</v>
      </c>
      <c r="D886">
        <v>108108</v>
      </c>
      <c r="E886" s="2">
        <v>25004864</v>
      </c>
      <c r="F886" s="2">
        <v>3</v>
      </c>
      <c r="G886" t="s">
        <v>1585</v>
      </c>
      <c r="H886" t="s">
        <v>1263</v>
      </c>
      <c r="I886" t="s">
        <v>1989</v>
      </c>
      <c r="J886" t="s">
        <v>1323</v>
      </c>
      <c r="K886" s="3">
        <v>1</v>
      </c>
      <c r="L886" s="4">
        <v>6</v>
      </c>
      <c r="O886" t="s">
        <v>2</v>
      </c>
      <c r="P886" t="s">
        <v>942</v>
      </c>
      <c r="Q886" s="2">
        <v>50</v>
      </c>
      <c r="R886" s="5">
        <v>12</v>
      </c>
      <c r="S886" s="5">
        <v>6</v>
      </c>
      <c r="T886" s="2">
        <v>6</v>
      </c>
      <c r="U886" t="s">
        <v>3</v>
      </c>
      <c r="V886" t="s">
        <v>327</v>
      </c>
      <c r="W886" s="5">
        <v>46.89</v>
      </c>
    </row>
    <row r="887" spans="1:23" ht="15" x14ac:dyDescent="0.2">
      <c r="A887" t="s">
        <v>1009</v>
      </c>
      <c r="B887" s="1">
        <f>45927</f>
        <v>45927</v>
      </c>
      <c r="C887" t="s">
        <v>0</v>
      </c>
      <c r="D887">
        <v>108108</v>
      </c>
      <c r="E887" s="2">
        <v>25004865</v>
      </c>
      <c r="F887" s="2">
        <v>1</v>
      </c>
      <c r="G887" t="s">
        <v>1634</v>
      </c>
      <c r="H887" t="s">
        <v>1310</v>
      </c>
      <c r="I887" t="s">
        <v>1990</v>
      </c>
      <c r="J887" t="s">
        <v>1323</v>
      </c>
      <c r="K887" s="3">
        <v>1</v>
      </c>
      <c r="L887" s="4">
        <v>30.9</v>
      </c>
      <c r="O887" t="s">
        <v>2</v>
      </c>
      <c r="P887" t="s">
        <v>943</v>
      </c>
      <c r="Q887" s="2">
        <v>0</v>
      </c>
      <c r="R887" s="5">
        <v>30.9</v>
      </c>
      <c r="S887" s="5">
        <v>0</v>
      </c>
      <c r="T887" s="2">
        <v>31</v>
      </c>
      <c r="U887" t="s">
        <v>3</v>
      </c>
      <c r="V887" t="s">
        <v>328</v>
      </c>
      <c r="W887" s="5">
        <v>25.97</v>
      </c>
    </row>
    <row r="888" spans="1:23" ht="15" x14ac:dyDescent="0.2">
      <c r="A888" t="s">
        <v>1009</v>
      </c>
      <c r="B888" s="1">
        <f>45927</f>
        <v>45927</v>
      </c>
      <c r="C888" t="s">
        <v>0</v>
      </c>
      <c r="D888">
        <v>108108</v>
      </c>
      <c r="E888" s="2">
        <v>25004866</v>
      </c>
      <c r="F888" s="2">
        <v>1</v>
      </c>
      <c r="G888" t="s">
        <v>1635</v>
      </c>
      <c r="H888" t="s">
        <v>1311</v>
      </c>
      <c r="I888" t="s">
        <v>1991</v>
      </c>
      <c r="J888" t="s">
        <v>1323</v>
      </c>
      <c r="K888" s="3">
        <v>1</v>
      </c>
      <c r="L888" s="4">
        <v>155</v>
      </c>
      <c r="O888" t="s">
        <v>2</v>
      </c>
      <c r="P888" t="s">
        <v>944</v>
      </c>
      <c r="Q888" s="2">
        <v>0</v>
      </c>
      <c r="R888" s="5">
        <v>155</v>
      </c>
      <c r="S888" s="5">
        <v>0</v>
      </c>
      <c r="T888" s="2">
        <v>155</v>
      </c>
      <c r="U888" t="s">
        <v>3</v>
      </c>
      <c r="V888" t="s">
        <v>329</v>
      </c>
      <c r="W888" s="5">
        <v>149.49</v>
      </c>
    </row>
    <row r="889" spans="1:23" ht="15" x14ac:dyDescent="0.2">
      <c r="A889" t="s">
        <v>1009</v>
      </c>
      <c r="B889" s="1">
        <f>45927</f>
        <v>45927</v>
      </c>
      <c r="C889" t="s">
        <v>0</v>
      </c>
      <c r="D889">
        <v>108108</v>
      </c>
      <c r="E889" s="2">
        <v>25004866</v>
      </c>
      <c r="F889" s="2">
        <v>2</v>
      </c>
      <c r="G889" t="s">
        <v>1490</v>
      </c>
      <c r="H889" t="s">
        <v>1171</v>
      </c>
      <c r="I889" t="s">
        <v>1991</v>
      </c>
      <c r="J889" t="s">
        <v>1323</v>
      </c>
      <c r="K889" s="3">
        <v>1</v>
      </c>
      <c r="L889" s="4">
        <v>22.9</v>
      </c>
      <c r="O889" t="s">
        <v>2</v>
      </c>
      <c r="P889" t="s">
        <v>944</v>
      </c>
      <c r="Q889" s="2">
        <v>0</v>
      </c>
      <c r="R889" s="5">
        <v>22.9</v>
      </c>
      <c r="S889" s="5">
        <v>0</v>
      </c>
      <c r="T889" s="2">
        <v>23</v>
      </c>
      <c r="U889" t="s">
        <v>3</v>
      </c>
      <c r="V889" t="s">
        <v>329</v>
      </c>
      <c r="W889" s="5">
        <v>149.49</v>
      </c>
    </row>
    <row r="890" spans="1:23" ht="15" x14ac:dyDescent="0.2">
      <c r="A890" t="s">
        <v>1009</v>
      </c>
      <c r="B890" s="1">
        <f>45927</f>
        <v>45927</v>
      </c>
      <c r="C890" t="s">
        <v>0</v>
      </c>
      <c r="D890">
        <v>108108</v>
      </c>
      <c r="E890" s="2">
        <v>25004867</v>
      </c>
      <c r="F890" s="2">
        <v>1</v>
      </c>
      <c r="G890" t="s">
        <v>1363</v>
      </c>
      <c r="H890" t="s">
        <v>1045</v>
      </c>
      <c r="I890" t="s">
        <v>1992</v>
      </c>
      <c r="J890" t="s">
        <v>1323</v>
      </c>
      <c r="K890" s="3">
        <v>1</v>
      </c>
      <c r="L890" s="4">
        <v>32</v>
      </c>
      <c r="O890" t="s">
        <v>2</v>
      </c>
      <c r="P890" t="s">
        <v>945</v>
      </c>
      <c r="Q890" s="2">
        <v>0</v>
      </c>
      <c r="R890" s="5">
        <v>32</v>
      </c>
      <c r="S890" s="5">
        <v>0</v>
      </c>
      <c r="T890" s="2">
        <v>32</v>
      </c>
      <c r="U890" t="s">
        <v>3</v>
      </c>
      <c r="V890" t="s">
        <v>330</v>
      </c>
      <c r="W890" s="5">
        <v>34.450000000000003</v>
      </c>
    </row>
    <row r="891" spans="1:23" ht="15" x14ac:dyDescent="0.2">
      <c r="A891" t="s">
        <v>1009</v>
      </c>
      <c r="B891" s="1">
        <f>45927</f>
        <v>45927</v>
      </c>
      <c r="C891" t="s">
        <v>0</v>
      </c>
      <c r="D891">
        <v>108108</v>
      </c>
      <c r="E891" s="2">
        <v>25004867</v>
      </c>
      <c r="F891" s="2">
        <v>2</v>
      </c>
      <c r="G891" t="s">
        <v>1435</v>
      </c>
      <c r="H891" t="s">
        <v>1117</v>
      </c>
      <c r="I891" t="s">
        <v>1992</v>
      </c>
      <c r="J891" t="s">
        <v>1323</v>
      </c>
      <c r="K891" s="3">
        <v>1</v>
      </c>
      <c r="L891" s="4">
        <v>9</v>
      </c>
      <c r="O891" t="s">
        <v>2</v>
      </c>
      <c r="P891" t="s">
        <v>945</v>
      </c>
      <c r="Q891" s="2">
        <v>40</v>
      </c>
      <c r="R891" s="5">
        <v>15</v>
      </c>
      <c r="S891" s="5">
        <v>6</v>
      </c>
      <c r="T891" s="2">
        <v>9</v>
      </c>
      <c r="U891" t="s">
        <v>3</v>
      </c>
      <c r="V891" t="s">
        <v>330</v>
      </c>
      <c r="W891" s="5">
        <v>34.450000000000003</v>
      </c>
    </row>
    <row r="892" spans="1:23" ht="15" x14ac:dyDescent="0.2">
      <c r="A892" t="s">
        <v>1009</v>
      </c>
      <c r="B892" s="1">
        <f>45927</f>
        <v>45927</v>
      </c>
      <c r="C892" t="s">
        <v>0</v>
      </c>
      <c r="D892">
        <v>108108</v>
      </c>
      <c r="E892" s="2">
        <v>25004868</v>
      </c>
      <c r="F892" s="2">
        <v>1</v>
      </c>
      <c r="G892" t="s">
        <v>1469</v>
      </c>
      <c r="H892" t="s">
        <v>1150</v>
      </c>
      <c r="I892" t="s">
        <v>1647</v>
      </c>
      <c r="J892" t="s">
        <v>1323</v>
      </c>
      <c r="K892" s="3">
        <v>1</v>
      </c>
      <c r="L892" s="4">
        <v>27.5</v>
      </c>
      <c r="O892" t="s">
        <v>2</v>
      </c>
      <c r="P892" t="s">
        <v>946</v>
      </c>
      <c r="Q892" s="2">
        <v>0</v>
      </c>
      <c r="R892" s="5">
        <v>27.5</v>
      </c>
      <c r="S892" s="5">
        <v>0</v>
      </c>
      <c r="T892" s="2">
        <v>28</v>
      </c>
      <c r="U892" t="s">
        <v>3</v>
      </c>
      <c r="V892" t="s">
        <v>1322</v>
      </c>
      <c r="W892" s="5">
        <v>23.11</v>
      </c>
    </row>
    <row r="893" spans="1:23" ht="15" x14ac:dyDescent="0.2">
      <c r="A893" t="s">
        <v>1009</v>
      </c>
      <c r="B893" s="1">
        <f>45927</f>
        <v>45927</v>
      </c>
      <c r="C893" t="s">
        <v>0</v>
      </c>
      <c r="D893">
        <v>108108</v>
      </c>
      <c r="E893" s="2">
        <v>25004869</v>
      </c>
      <c r="F893" s="2">
        <v>1</v>
      </c>
      <c r="G893" t="s">
        <v>1453</v>
      </c>
      <c r="H893" t="s">
        <v>1135</v>
      </c>
      <c r="I893" t="s">
        <v>1993</v>
      </c>
      <c r="J893" t="s">
        <v>1323</v>
      </c>
      <c r="K893" s="3">
        <v>1</v>
      </c>
      <c r="L893" s="4">
        <v>45</v>
      </c>
      <c r="O893" t="s">
        <v>2</v>
      </c>
      <c r="P893" t="s">
        <v>947</v>
      </c>
      <c r="Q893" s="2">
        <v>0</v>
      </c>
      <c r="R893" s="5">
        <v>45</v>
      </c>
      <c r="S893" s="5">
        <v>0</v>
      </c>
      <c r="T893" s="2">
        <v>45</v>
      </c>
      <c r="U893" t="s">
        <v>3</v>
      </c>
      <c r="V893" t="s">
        <v>331</v>
      </c>
      <c r="W893" s="5">
        <v>75.64</v>
      </c>
    </row>
    <row r="894" spans="1:23" ht="15" x14ac:dyDescent="0.2">
      <c r="A894" t="s">
        <v>1009</v>
      </c>
      <c r="B894" s="1">
        <f>45927</f>
        <v>45927</v>
      </c>
      <c r="C894" t="s">
        <v>0</v>
      </c>
      <c r="D894">
        <v>108108</v>
      </c>
      <c r="E894" s="2">
        <v>25004869</v>
      </c>
      <c r="F894" s="2">
        <v>2</v>
      </c>
      <c r="G894" t="s">
        <v>1453</v>
      </c>
      <c r="H894" t="s">
        <v>1135</v>
      </c>
      <c r="I894" t="s">
        <v>1993</v>
      </c>
      <c r="J894" t="s">
        <v>1323</v>
      </c>
      <c r="K894" s="3">
        <v>1</v>
      </c>
      <c r="L894" s="4">
        <v>45</v>
      </c>
      <c r="O894" t="s">
        <v>2</v>
      </c>
      <c r="P894" t="s">
        <v>947</v>
      </c>
      <c r="Q894" s="2">
        <v>0</v>
      </c>
      <c r="R894" s="5">
        <v>45</v>
      </c>
      <c r="S894" s="5">
        <v>0</v>
      </c>
      <c r="T894" s="2">
        <v>45</v>
      </c>
      <c r="U894" t="s">
        <v>3</v>
      </c>
      <c r="V894" t="s">
        <v>331</v>
      </c>
      <c r="W894" s="5">
        <v>75.64</v>
      </c>
    </row>
    <row r="895" spans="1:23" ht="15" x14ac:dyDescent="0.2">
      <c r="A895" t="s">
        <v>1009</v>
      </c>
      <c r="B895" s="1">
        <f>45927</f>
        <v>45927</v>
      </c>
      <c r="C895" t="s">
        <v>0</v>
      </c>
      <c r="D895">
        <v>108108</v>
      </c>
      <c r="E895" s="2">
        <v>25004870</v>
      </c>
      <c r="F895" s="2">
        <v>1</v>
      </c>
      <c r="G895" t="s">
        <v>1636</v>
      </c>
      <c r="H895" t="s">
        <v>1312</v>
      </c>
      <c r="I895" t="s">
        <v>1994</v>
      </c>
      <c r="J895" t="s">
        <v>1324</v>
      </c>
      <c r="K895" s="3">
        <v>1</v>
      </c>
      <c r="L895" s="4">
        <v>39.9</v>
      </c>
      <c r="O895" t="s">
        <v>2</v>
      </c>
      <c r="P895" t="s">
        <v>948</v>
      </c>
      <c r="Q895" s="2">
        <v>0</v>
      </c>
      <c r="R895" s="5">
        <v>39.9</v>
      </c>
      <c r="S895" s="5">
        <v>0</v>
      </c>
      <c r="T895" s="2">
        <v>40</v>
      </c>
      <c r="U895" t="s">
        <v>3</v>
      </c>
      <c r="V895" t="s">
        <v>205</v>
      </c>
      <c r="W895" s="5">
        <v>33.53</v>
      </c>
    </row>
    <row r="896" spans="1:23" ht="15" x14ac:dyDescent="0.2">
      <c r="A896" t="s">
        <v>1009</v>
      </c>
      <c r="B896" s="1">
        <f>45927</f>
        <v>45927</v>
      </c>
      <c r="C896" t="s">
        <v>0</v>
      </c>
      <c r="D896">
        <v>108108</v>
      </c>
      <c r="E896" s="2">
        <v>25004871</v>
      </c>
      <c r="F896" s="2">
        <v>1</v>
      </c>
      <c r="G896" t="s">
        <v>1389</v>
      </c>
      <c r="H896" t="s">
        <v>1071</v>
      </c>
      <c r="I896" t="s">
        <v>1964</v>
      </c>
      <c r="J896" t="s">
        <v>1324</v>
      </c>
      <c r="K896" s="3">
        <v>1</v>
      </c>
      <c r="L896" s="4">
        <v>17.899999999999999</v>
      </c>
      <c r="O896" t="s">
        <v>2</v>
      </c>
      <c r="P896" t="s">
        <v>949</v>
      </c>
      <c r="Q896" s="2">
        <v>0</v>
      </c>
      <c r="R896" s="5">
        <v>17.899999999999999</v>
      </c>
      <c r="S896" s="5">
        <v>0</v>
      </c>
      <c r="T896" s="2">
        <v>18</v>
      </c>
      <c r="U896" t="s">
        <v>3</v>
      </c>
      <c r="V896" t="s">
        <v>306</v>
      </c>
      <c r="W896" s="5">
        <v>19.239999999999998</v>
      </c>
    </row>
    <row r="897" spans="1:23" ht="15" x14ac:dyDescent="0.2">
      <c r="A897" t="s">
        <v>1009</v>
      </c>
      <c r="B897" s="1">
        <f>45927</f>
        <v>45927</v>
      </c>
      <c r="C897" t="s">
        <v>0</v>
      </c>
      <c r="D897">
        <v>108108</v>
      </c>
      <c r="E897" s="2">
        <v>25004871</v>
      </c>
      <c r="F897" s="2">
        <v>2</v>
      </c>
      <c r="G897" t="s">
        <v>1332</v>
      </c>
      <c r="H897" t="s">
        <v>362</v>
      </c>
      <c r="I897" t="s">
        <v>1964</v>
      </c>
      <c r="J897" t="s">
        <v>1324</v>
      </c>
      <c r="K897" s="3">
        <v>1</v>
      </c>
      <c r="L897" s="4">
        <v>5</v>
      </c>
      <c r="O897" t="s">
        <v>2</v>
      </c>
      <c r="P897" t="s">
        <v>949</v>
      </c>
      <c r="Q897" s="2">
        <v>0</v>
      </c>
      <c r="R897" s="5">
        <v>5</v>
      </c>
      <c r="S897" s="5">
        <v>0</v>
      </c>
      <c r="T897" s="2">
        <v>5</v>
      </c>
      <c r="U897" t="s">
        <v>3</v>
      </c>
      <c r="V897" t="s">
        <v>306</v>
      </c>
      <c r="W897" s="5">
        <v>19.239999999999998</v>
      </c>
    </row>
    <row r="898" spans="1:23" ht="15" x14ac:dyDescent="0.2">
      <c r="A898" t="s">
        <v>1009</v>
      </c>
      <c r="B898" s="1">
        <f>45927</f>
        <v>45927</v>
      </c>
      <c r="C898" t="s">
        <v>0</v>
      </c>
      <c r="D898">
        <v>108108</v>
      </c>
      <c r="E898" s="2">
        <v>25004872</v>
      </c>
      <c r="F898" s="2">
        <v>1</v>
      </c>
      <c r="G898" t="s">
        <v>1637</v>
      </c>
      <c r="H898" t="s">
        <v>1313</v>
      </c>
      <c r="I898" t="s">
        <v>1993</v>
      </c>
      <c r="J898" t="s">
        <v>1324</v>
      </c>
      <c r="K898" s="3">
        <v>1</v>
      </c>
      <c r="L898" s="4">
        <v>33.9</v>
      </c>
      <c r="O898" t="s">
        <v>2</v>
      </c>
      <c r="P898" t="s">
        <v>950</v>
      </c>
      <c r="Q898" s="2">
        <v>0</v>
      </c>
      <c r="R898" s="5">
        <v>33.9</v>
      </c>
      <c r="S898" s="5">
        <v>0</v>
      </c>
      <c r="T898" s="2">
        <v>34</v>
      </c>
      <c r="U898" t="s">
        <v>3</v>
      </c>
      <c r="V898" t="s">
        <v>331</v>
      </c>
      <c r="W898" s="5">
        <v>32.69</v>
      </c>
    </row>
    <row r="899" spans="1:23" ht="15" x14ac:dyDescent="0.2">
      <c r="A899" t="s">
        <v>1009</v>
      </c>
      <c r="B899" s="1">
        <f>45927</f>
        <v>45927</v>
      </c>
      <c r="C899" t="s">
        <v>0</v>
      </c>
      <c r="D899">
        <v>108108</v>
      </c>
      <c r="E899" s="2">
        <v>25004872</v>
      </c>
      <c r="F899" s="2">
        <v>2</v>
      </c>
      <c r="G899" t="s">
        <v>1332</v>
      </c>
      <c r="H899" t="s">
        <v>362</v>
      </c>
      <c r="I899" t="s">
        <v>1993</v>
      </c>
      <c r="J899" t="s">
        <v>1324</v>
      </c>
      <c r="K899" s="3">
        <v>1</v>
      </c>
      <c r="L899" s="4">
        <v>5</v>
      </c>
      <c r="O899" t="s">
        <v>2</v>
      </c>
      <c r="P899" t="s">
        <v>950</v>
      </c>
      <c r="Q899" s="2">
        <v>0</v>
      </c>
      <c r="R899" s="5">
        <v>5</v>
      </c>
      <c r="S899" s="5">
        <v>0</v>
      </c>
      <c r="T899" s="2">
        <v>5</v>
      </c>
      <c r="U899" t="s">
        <v>3</v>
      </c>
      <c r="V899" t="s">
        <v>331</v>
      </c>
      <c r="W899" s="5">
        <v>32.69</v>
      </c>
    </row>
    <row r="900" spans="1:23" ht="15" x14ac:dyDescent="0.2">
      <c r="A900" t="s">
        <v>1009</v>
      </c>
      <c r="B900" s="1">
        <f>45927</f>
        <v>45927</v>
      </c>
      <c r="C900" t="s">
        <v>0</v>
      </c>
      <c r="D900">
        <v>108108</v>
      </c>
      <c r="E900" s="2">
        <v>25004873</v>
      </c>
      <c r="F900" s="2">
        <v>1</v>
      </c>
      <c r="G900" t="s">
        <v>1595</v>
      </c>
      <c r="H900" t="s">
        <v>1273</v>
      </c>
      <c r="I900" t="s">
        <v>1975</v>
      </c>
      <c r="J900" t="s">
        <v>1324</v>
      </c>
      <c r="K900" s="3">
        <v>1</v>
      </c>
      <c r="L900" s="4">
        <v>16.899999999999999</v>
      </c>
      <c r="O900" t="s">
        <v>2</v>
      </c>
      <c r="P900" t="s">
        <v>951</v>
      </c>
      <c r="Q900" s="2">
        <v>0</v>
      </c>
      <c r="R900" s="5">
        <v>16.899999999999999</v>
      </c>
      <c r="S900" s="5">
        <v>0</v>
      </c>
      <c r="T900" s="2">
        <v>17</v>
      </c>
      <c r="U900" t="s">
        <v>3</v>
      </c>
      <c r="V900" t="s">
        <v>315</v>
      </c>
      <c r="W900" s="5">
        <v>14.2</v>
      </c>
    </row>
    <row r="901" spans="1:23" ht="15" x14ac:dyDescent="0.2">
      <c r="A901" t="s">
        <v>1009</v>
      </c>
      <c r="B901" s="1">
        <f>45927</f>
        <v>45927</v>
      </c>
      <c r="C901" t="s">
        <v>0</v>
      </c>
      <c r="D901">
        <v>108108</v>
      </c>
      <c r="E901" s="2">
        <v>25004874</v>
      </c>
      <c r="F901" s="2">
        <v>1</v>
      </c>
      <c r="G901" t="s">
        <v>1407</v>
      </c>
      <c r="H901" t="s">
        <v>1089</v>
      </c>
      <c r="I901" t="s">
        <v>1647</v>
      </c>
      <c r="J901" t="s">
        <v>1324</v>
      </c>
      <c r="K901" s="3">
        <v>1</v>
      </c>
      <c r="L901" s="4">
        <v>27.5</v>
      </c>
      <c r="O901" t="s">
        <v>2</v>
      </c>
      <c r="P901" t="s">
        <v>952</v>
      </c>
      <c r="Q901" s="2">
        <v>0</v>
      </c>
      <c r="R901" s="5">
        <v>27.5</v>
      </c>
      <c r="S901" s="5">
        <v>0</v>
      </c>
      <c r="T901" s="2">
        <v>28</v>
      </c>
      <c r="U901" t="s">
        <v>3</v>
      </c>
      <c r="V901" t="s">
        <v>1322</v>
      </c>
      <c r="W901" s="5">
        <v>23.11</v>
      </c>
    </row>
    <row r="902" spans="1:23" ht="15" x14ac:dyDescent="0.2">
      <c r="A902" t="s">
        <v>1009</v>
      </c>
      <c r="B902" s="1">
        <f>45927</f>
        <v>45927</v>
      </c>
      <c r="C902" t="s">
        <v>0</v>
      </c>
      <c r="D902">
        <v>108108</v>
      </c>
      <c r="E902" s="2">
        <v>25004875</v>
      </c>
      <c r="F902" s="2">
        <v>1</v>
      </c>
      <c r="G902" t="s">
        <v>1398</v>
      </c>
      <c r="H902" t="s">
        <v>1080</v>
      </c>
      <c r="I902" t="s">
        <v>1647</v>
      </c>
      <c r="J902" t="s">
        <v>1324</v>
      </c>
      <c r="K902" s="3">
        <v>1</v>
      </c>
      <c r="L902" s="4">
        <v>28.9</v>
      </c>
      <c r="O902" t="s">
        <v>2</v>
      </c>
      <c r="P902" t="s">
        <v>953</v>
      </c>
      <c r="Q902" s="2">
        <v>0</v>
      </c>
      <c r="R902" s="5">
        <v>28.9</v>
      </c>
      <c r="S902" s="5">
        <v>0</v>
      </c>
      <c r="T902" s="2">
        <v>29</v>
      </c>
      <c r="U902" t="s">
        <v>3</v>
      </c>
      <c r="V902" t="s">
        <v>1322</v>
      </c>
      <c r="W902" s="5">
        <v>24.29</v>
      </c>
    </row>
    <row r="903" spans="1:23" ht="15" x14ac:dyDescent="0.2">
      <c r="A903" t="s">
        <v>1009</v>
      </c>
      <c r="B903" s="1">
        <f>45927</f>
        <v>45927</v>
      </c>
      <c r="C903" t="s">
        <v>0</v>
      </c>
      <c r="D903">
        <v>108108</v>
      </c>
      <c r="E903" s="2">
        <v>25004876</v>
      </c>
      <c r="F903" s="2">
        <v>1</v>
      </c>
      <c r="G903" t="s">
        <v>1609</v>
      </c>
      <c r="H903" t="s">
        <v>1287</v>
      </c>
      <c r="I903" t="s">
        <v>1647</v>
      </c>
      <c r="J903" t="s">
        <v>1324</v>
      </c>
      <c r="K903" s="3">
        <v>1</v>
      </c>
      <c r="L903" s="4">
        <v>21.9</v>
      </c>
      <c r="O903" t="s">
        <v>2</v>
      </c>
      <c r="P903" t="s">
        <v>954</v>
      </c>
      <c r="Q903" s="2">
        <v>0</v>
      </c>
      <c r="R903" s="5">
        <v>21.9</v>
      </c>
      <c r="S903" s="5">
        <v>0</v>
      </c>
      <c r="T903" s="2">
        <v>22</v>
      </c>
      <c r="U903" t="s">
        <v>3</v>
      </c>
      <c r="V903" t="s">
        <v>1322</v>
      </c>
      <c r="W903" s="5">
        <v>22.6</v>
      </c>
    </row>
    <row r="904" spans="1:23" ht="15" x14ac:dyDescent="0.2">
      <c r="A904" t="s">
        <v>1009</v>
      </c>
      <c r="B904" s="1">
        <f>45927</f>
        <v>45927</v>
      </c>
      <c r="C904" t="s">
        <v>0</v>
      </c>
      <c r="D904">
        <v>108108</v>
      </c>
      <c r="E904" s="2">
        <v>25004876</v>
      </c>
      <c r="F904" s="2">
        <v>2</v>
      </c>
      <c r="G904" t="s">
        <v>1332</v>
      </c>
      <c r="H904" t="s">
        <v>362</v>
      </c>
      <c r="I904" t="s">
        <v>1647</v>
      </c>
      <c r="J904" t="s">
        <v>1324</v>
      </c>
      <c r="K904" s="3">
        <v>1</v>
      </c>
      <c r="L904" s="4">
        <v>5</v>
      </c>
      <c r="O904" t="s">
        <v>2</v>
      </c>
      <c r="P904" t="s">
        <v>954</v>
      </c>
      <c r="Q904" s="2">
        <v>0</v>
      </c>
      <c r="R904" s="5">
        <v>5</v>
      </c>
      <c r="S904" s="5">
        <v>0</v>
      </c>
      <c r="T904" s="2">
        <v>5</v>
      </c>
      <c r="U904" t="s">
        <v>3</v>
      </c>
      <c r="V904" t="s">
        <v>1322</v>
      </c>
      <c r="W904" s="5">
        <v>22.6</v>
      </c>
    </row>
    <row r="905" spans="1:23" ht="15" x14ac:dyDescent="0.2">
      <c r="A905" t="s">
        <v>1009</v>
      </c>
      <c r="B905" s="1">
        <f>45927</f>
        <v>45927</v>
      </c>
      <c r="C905" t="s">
        <v>0</v>
      </c>
      <c r="D905">
        <v>108108</v>
      </c>
      <c r="E905" s="2">
        <v>25004877</v>
      </c>
      <c r="F905" s="2">
        <v>1</v>
      </c>
      <c r="G905" t="s">
        <v>1646</v>
      </c>
      <c r="H905" t="s">
        <v>361</v>
      </c>
      <c r="I905" t="s">
        <v>1647</v>
      </c>
      <c r="J905" t="s">
        <v>1324</v>
      </c>
      <c r="K905" s="3">
        <v>1</v>
      </c>
      <c r="L905" s="4">
        <v>-450</v>
      </c>
      <c r="Q905" s="2">
        <v>0</v>
      </c>
      <c r="R905" s="5">
        <v>-450</v>
      </c>
      <c r="S905" s="5">
        <v>0</v>
      </c>
      <c r="T905" s="2">
        <v>-450</v>
      </c>
      <c r="U905" t="s">
        <v>1</v>
      </c>
      <c r="V905" t="s">
        <v>361</v>
      </c>
      <c r="W905" s="5">
        <v>-450</v>
      </c>
    </row>
    <row r="906" spans="1:23" ht="15" x14ac:dyDescent="0.2">
      <c r="A906" t="s">
        <v>1009</v>
      </c>
      <c r="B906" s="1">
        <f>45929</f>
        <v>45929</v>
      </c>
      <c r="C906" t="s">
        <v>0</v>
      </c>
      <c r="D906">
        <v>108108</v>
      </c>
      <c r="E906" s="2">
        <v>25004878</v>
      </c>
      <c r="F906" s="2">
        <v>1</v>
      </c>
      <c r="G906" t="s">
        <v>1646</v>
      </c>
      <c r="H906" t="s">
        <v>361</v>
      </c>
      <c r="I906" t="s">
        <v>1647</v>
      </c>
      <c r="J906" t="s">
        <v>1325</v>
      </c>
      <c r="K906" s="3">
        <v>1</v>
      </c>
      <c r="L906" s="4">
        <v>450</v>
      </c>
      <c r="Q906" s="2">
        <v>0</v>
      </c>
      <c r="R906" s="5">
        <v>450</v>
      </c>
      <c r="S906" s="5">
        <v>0</v>
      </c>
      <c r="T906" s="2">
        <v>450</v>
      </c>
      <c r="U906" t="s">
        <v>1</v>
      </c>
      <c r="V906" t="s">
        <v>361</v>
      </c>
      <c r="W906" s="5">
        <v>450</v>
      </c>
    </row>
    <row r="907" spans="1:23" ht="15" x14ac:dyDescent="0.2">
      <c r="A907" t="s">
        <v>1009</v>
      </c>
      <c r="B907" s="1">
        <f>45929</f>
        <v>45929</v>
      </c>
      <c r="C907" t="s">
        <v>0</v>
      </c>
      <c r="D907">
        <v>108108</v>
      </c>
      <c r="E907" s="2">
        <v>25004879</v>
      </c>
      <c r="F907" s="2">
        <v>1</v>
      </c>
      <c r="G907" t="s">
        <v>1418</v>
      </c>
      <c r="H907" t="s">
        <v>1100</v>
      </c>
      <c r="I907" t="s">
        <v>1995</v>
      </c>
      <c r="J907" t="s">
        <v>1325</v>
      </c>
      <c r="K907" s="3">
        <v>1</v>
      </c>
      <c r="L907" s="4">
        <v>22.9</v>
      </c>
      <c r="O907" t="s">
        <v>2</v>
      </c>
      <c r="P907" t="s">
        <v>955</v>
      </c>
      <c r="Q907" s="2">
        <v>0</v>
      </c>
      <c r="R907" s="5">
        <v>22.9</v>
      </c>
      <c r="S907" s="5">
        <v>0</v>
      </c>
      <c r="T907" s="2">
        <v>23</v>
      </c>
      <c r="U907" t="s">
        <v>3</v>
      </c>
      <c r="V907" t="s">
        <v>332</v>
      </c>
      <c r="W907" s="5">
        <v>19.239999999999998</v>
      </c>
    </row>
    <row r="908" spans="1:23" ht="15" x14ac:dyDescent="0.2">
      <c r="A908" t="s">
        <v>1009</v>
      </c>
      <c r="B908" s="1">
        <f>45929</f>
        <v>45929</v>
      </c>
      <c r="C908" t="s">
        <v>0</v>
      </c>
      <c r="D908">
        <v>108108</v>
      </c>
      <c r="E908" s="2">
        <v>25004880</v>
      </c>
      <c r="F908" s="2">
        <v>1</v>
      </c>
      <c r="G908" t="s">
        <v>1473</v>
      </c>
      <c r="H908" t="s">
        <v>1154</v>
      </c>
      <c r="I908" t="s">
        <v>1647</v>
      </c>
      <c r="J908" t="s">
        <v>1325</v>
      </c>
      <c r="K908" s="3">
        <v>1</v>
      </c>
      <c r="L908" s="4">
        <v>21.9</v>
      </c>
      <c r="O908" t="s">
        <v>2</v>
      </c>
      <c r="P908" t="s">
        <v>956</v>
      </c>
      <c r="Q908" s="2">
        <v>0</v>
      </c>
      <c r="R908" s="5">
        <v>21.9</v>
      </c>
      <c r="S908" s="5">
        <v>0</v>
      </c>
      <c r="T908" s="2">
        <v>22</v>
      </c>
      <c r="U908" t="s">
        <v>3</v>
      </c>
      <c r="V908" t="s">
        <v>1322</v>
      </c>
      <c r="W908" s="5">
        <v>18.399999999999999</v>
      </c>
    </row>
    <row r="909" spans="1:23" ht="15" x14ac:dyDescent="0.2">
      <c r="A909" t="s">
        <v>1009</v>
      </c>
      <c r="B909" s="1">
        <f>45929</f>
        <v>45929</v>
      </c>
      <c r="C909" t="s">
        <v>0</v>
      </c>
      <c r="D909">
        <v>108108</v>
      </c>
      <c r="E909" s="2">
        <v>25004881</v>
      </c>
      <c r="F909" s="2">
        <v>1</v>
      </c>
      <c r="G909" t="s">
        <v>1626</v>
      </c>
      <c r="H909" t="s">
        <v>1303</v>
      </c>
      <c r="I909" t="s">
        <v>1996</v>
      </c>
      <c r="J909" t="s">
        <v>1325</v>
      </c>
      <c r="K909" s="3">
        <v>1</v>
      </c>
      <c r="L909" s="4">
        <v>16.899999999999999</v>
      </c>
      <c r="O909" t="s">
        <v>2</v>
      </c>
      <c r="P909" t="s">
        <v>957</v>
      </c>
      <c r="Q909" s="2">
        <v>0</v>
      </c>
      <c r="R909" s="5">
        <v>16.899999999999999</v>
      </c>
      <c r="S909" s="5">
        <v>0</v>
      </c>
      <c r="T909" s="2">
        <v>17</v>
      </c>
      <c r="U909" t="s">
        <v>3</v>
      </c>
      <c r="V909" t="s">
        <v>333</v>
      </c>
      <c r="W909" s="5">
        <v>14.2</v>
      </c>
    </row>
    <row r="910" spans="1:23" ht="15" x14ac:dyDescent="0.2">
      <c r="A910" t="s">
        <v>1009</v>
      </c>
      <c r="B910" s="1">
        <f>45929</f>
        <v>45929</v>
      </c>
      <c r="C910" t="s">
        <v>0</v>
      </c>
      <c r="D910">
        <v>108108</v>
      </c>
      <c r="E910" s="2">
        <v>25004882</v>
      </c>
      <c r="F910" s="2">
        <v>1</v>
      </c>
      <c r="G910" t="s">
        <v>1327</v>
      </c>
      <c r="H910" t="s">
        <v>1010</v>
      </c>
      <c r="I910" t="s">
        <v>1997</v>
      </c>
      <c r="J910" t="s">
        <v>1325</v>
      </c>
      <c r="K910" s="3">
        <v>1</v>
      </c>
      <c r="L910" s="4">
        <v>29.9</v>
      </c>
      <c r="O910" t="s">
        <v>2</v>
      </c>
      <c r="P910" t="s">
        <v>958</v>
      </c>
      <c r="Q910" s="2">
        <v>0</v>
      </c>
      <c r="R910" s="5">
        <v>29.9</v>
      </c>
      <c r="S910" s="5">
        <v>0</v>
      </c>
      <c r="T910" s="2">
        <v>30</v>
      </c>
      <c r="U910" t="s">
        <v>3</v>
      </c>
      <c r="V910" t="s">
        <v>334</v>
      </c>
      <c r="W910" s="5">
        <v>25.13</v>
      </c>
    </row>
    <row r="911" spans="1:23" ht="15" x14ac:dyDescent="0.2">
      <c r="A911" t="s">
        <v>1009</v>
      </c>
      <c r="B911" s="1">
        <f>45929</f>
        <v>45929</v>
      </c>
      <c r="C911" t="s">
        <v>0</v>
      </c>
      <c r="D911">
        <v>108108</v>
      </c>
      <c r="E911" s="2">
        <v>25004883</v>
      </c>
      <c r="F911" s="2">
        <v>1</v>
      </c>
      <c r="G911" t="s">
        <v>1397</v>
      </c>
      <c r="H911" t="s">
        <v>1079</v>
      </c>
      <c r="I911" t="s">
        <v>1998</v>
      </c>
      <c r="J911" t="s">
        <v>1323</v>
      </c>
      <c r="K911" s="3">
        <v>1</v>
      </c>
      <c r="L911" s="4">
        <v>29.9</v>
      </c>
      <c r="O911" t="s">
        <v>2</v>
      </c>
      <c r="P911" t="s">
        <v>959</v>
      </c>
      <c r="Q911" s="2">
        <v>0</v>
      </c>
      <c r="R911" s="5">
        <v>29.9</v>
      </c>
      <c r="S911" s="5">
        <v>0</v>
      </c>
      <c r="T911" s="2">
        <v>30</v>
      </c>
      <c r="U911" t="s">
        <v>3</v>
      </c>
      <c r="V911" t="s">
        <v>335</v>
      </c>
      <c r="W911" s="5">
        <v>25.13</v>
      </c>
    </row>
    <row r="912" spans="1:23" ht="15" x14ac:dyDescent="0.2">
      <c r="A912" t="s">
        <v>1009</v>
      </c>
      <c r="B912" s="1">
        <f>45929</f>
        <v>45929</v>
      </c>
      <c r="C912" t="s">
        <v>0</v>
      </c>
      <c r="D912">
        <v>108108</v>
      </c>
      <c r="E912" s="2">
        <v>25004884</v>
      </c>
      <c r="F912" s="2">
        <v>1</v>
      </c>
      <c r="G912" t="s">
        <v>1482</v>
      </c>
      <c r="H912" t="s">
        <v>1163</v>
      </c>
      <c r="I912" t="s">
        <v>1999</v>
      </c>
      <c r="J912" t="s">
        <v>1323</v>
      </c>
      <c r="K912" s="3">
        <v>1</v>
      </c>
      <c r="L912" s="4">
        <v>32</v>
      </c>
      <c r="O912" t="s">
        <v>2</v>
      </c>
      <c r="P912" t="s">
        <v>960</v>
      </c>
      <c r="Q912" s="2">
        <v>0</v>
      </c>
      <c r="R912" s="5">
        <v>32</v>
      </c>
      <c r="S912" s="5">
        <v>0</v>
      </c>
      <c r="T912" s="2">
        <v>32</v>
      </c>
      <c r="U912" t="s">
        <v>3</v>
      </c>
      <c r="V912" t="s">
        <v>336</v>
      </c>
      <c r="W912" s="5">
        <v>26.89</v>
      </c>
    </row>
    <row r="913" spans="1:23" ht="15" x14ac:dyDescent="0.2">
      <c r="A913" t="s">
        <v>1009</v>
      </c>
      <c r="B913" s="1">
        <f>45929</f>
        <v>45929</v>
      </c>
      <c r="C913" t="s">
        <v>0</v>
      </c>
      <c r="D913">
        <v>108108</v>
      </c>
      <c r="E913" s="2">
        <v>25004885</v>
      </c>
      <c r="F913" s="2">
        <v>1</v>
      </c>
      <c r="G913" t="s">
        <v>1369</v>
      </c>
      <c r="H913" t="s">
        <v>1051</v>
      </c>
      <c r="I913" t="s">
        <v>1647</v>
      </c>
      <c r="J913" t="s">
        <v>1323</v>
      </c>
      <c r="K913" s="3">
        <v>1</v>
      </c>
      <c r="L913" s="4">
        <v>9.9</v>
      </c>
      <c r="O913" t="s">
        <v>2</v>
      </c>
      <c r="P913" t="s">
        <v>961</v>
      </c>
      <c r="Q913" s="2">
        <v>0</v>
      </c>
      <c r="R913" s="5">
        <v>9.9</v>
      </c>
      <c r="S913" s="5">
        <v>0</v>
      </c>
      <c r="T913" s="2">
        <v>10</v>
      </c>
      <c r="U913" t="s">
        <v>3</v>
      </c>
      <c r="V913" t="s">
        <v>1322</v>
      </c>
      <c r="W913" s="5">
        <v>8.32</v>
      </c>
    </row>
    <row r="914" spans="1:23" ht="15" x14ac:dyDescent="0.2">
      <c r="A914" t="s">
        <v>1009</v>
      </c>
      <c r="B914" s="1">
        <f>45929</f>
        <v>45929</v>
      </c>
      <c r="C914" t="s">
        <v>0</v>
      </c>
      <c r="D914">
        <v>108108</v>
      </c>
      <c r="E914" s="2">
        <v>25004886</v>
      </c>
      <c r="F914" s="2">
        <v>1</v>
      </c>
      <c r="G914" t="s">
        <v>1473</v>
      </c>
      <c r="H914" t="s">
        <v>1154</v>
      </c>
      <c r="I914" t="s">
        <v>2000</v>
      </c>
      <c r="J914" t="s">
        <v>1323</v>
      </c>
      <c r="K914" s="3">
        <v>1</v>
      </c>
      <c r="L914" s="4">
        <v>21.9</v>
      </c>
      <c r="O914" t="s">
        <v>2</v>
      </c>
      <c r="P914" t="s">
        <v>962</v>
      </c>
      <c r="Q914" s="2">
        <v>0</v>
      </c>
      <c r="R914" s="5">
        <v>21.9</v>
      </c>
      <c r="S914" s="5">
        <v>0</v>
      </c>
      <c r="T914" s="2">
        <v>22</v>
      </c>
      <c r="U914" t="s">
        <v>3</v>
      </c>
      <c r="V914" t="s">
        <v>337</v>
      </c>
      <c r="W914" s="5">
        <v>36.799999999999997</v>
      </c>
    </row>
    <row r="915" spans="1:23" ht="15" x14ac:dyDescent="0.2">
      <c r="A915" t="s">
        <v>1009</v>
      </c>
      <c r="B915" s="1">
        <f>45929</f>
        <v>45929</v>
      </c>
      <c r="C915" t="s">
        <v>0</v>
      </c>
      <c r="D915">
        <v>108108</v>
      </c>
      <c r="E915" s="2">
        <v>25004886</v>
      </c>
      <c r="F915" s="2">
        <v>2</v>
      </c>
      <c r="G915" t="s">
        <v>1334</v>
      </c>
      <c r="H915" t="s">
        <v>1016</v>
      </c>
      <c r="I915" t="s">
        <v>2000</v>
      </c>
      <c r="J915" t="s">
        <v>1323</v>
      </c>
      <c r="K915" s="3">
        <v>1</v>
      </c>
      <c r="L915" s="4">
        <v>21.9</v>
      </c>
      <c r="O915" t="s">
        <v>2</v>
      </c>
      <c r="P915" t="s">
        <v>962</v>
      </c>
      <c r="Q915" s="2">
        <v>0</v>
      </c>
      <c r="R915" s="5">
        <v>21.9</v>
      </c>
      <c r="S915" s="5">
        <v>0</v>
      </c>
      <c r="T915" s="2">
        <v>22</v>
      </c>
      <c r="U915" t="s">
        <v>3</v>
      </c>
      <c r="V915" t="s">
        <v>337</v>
      </c>
      <c r="W915" s="5">
        <v>36.799999999999997</v>
      </c>
    </row>
    <row r="916" spans="1:23" ht="15" x14ac:dyDescent="0.2">
      <c r="A916" t="s">
        <v>1009</v>
      </c>
      <c r="B916" s="1">
        <f>45929</f>
        <v>45929</v>
      </c>
      <c r="C916" t="s">
        <v>0</v>
      </c>
      <c r="D916">
        <v>108108</v>
      </c>
      <c r="E916" s="2">
        <v>25004887</v>
      </c>
      <c r="F916" s="2">
        <v>1</v>
      </c>
      <c r="G916" t="s">
        <v>1514</v>
      </c>
      <c r="H916" t="s">
        <v>1195</v>
      </c>
      <c r="I916" t="s">
        <v>2001</v>
      </c>
      <c r="J916" t="s">
        <v>1323</v>
      </c>
      <c r="K916" s="3">
        <v>1</v>
      </c>
      <c r="L916" s="4">
        <v>17.899999999999999</v>
      </c>
      <c r="O916" t="s">
        <v>2</v>
      </c>
      <c r="P916" t="s">
        <v>963</v>
      </c>
      <c r="Q916" s="2">
        <v>0</v>
      </c>
      <c r="R916" s="5">
        <v>17.899999999999999</v>
      </c>
      <c r="S916" s="5">
        <v>0</v>
      </c>
      <c r="T916" s="2">
        <v>18</v>
      </c>
      <c r="U916" t="s">
        <v>3</v>
      </c>
      <c r="V916" t="s">
        <v>338</v>
      </c>
      <c r="W916" s="5">
        <v>15.04</v>
      </c>
    </row>
    <row r="917" spans="1:23" ht="15" x14ac:dyDescent="0.2">
      <c r="A917" t="s">
        <v>1009</v>
      </c>
      <c r="B917" s="1">
        <f>45929</f>
        <v>45929</v>
      </c>
      <c r="C917" t="s">
        <v>0</v>
      </c>
      <c r="D917">
        <v>108108</v>
      </c>
      <c r="E917" s="2">
        <v>25004888</v>
      </c>
      <c r="F917" s="2">
        <v>1</v>
      </c>
      <c r="G917" t="s">
        <v>1638</v>
      </c>
      <c r="H917" t="s">
        <v>1314</v>
      </c>
      <c r="I917" t="s">
        <v>2002</v>
      </c>
      <c r="J917" t="s">
        <v>1323</v>
      </c>
      <c r="K917" s="3">
        <v>1</v>
      </c>
      <c r="L917" s="4">
        <v>179</v>
      </c>
      <c r="O917" t="s">
        <v>2</v>
      </c>
      <c r="P917" t="s">
        <v>964</v>
      </c>
      <c r="Q917" s="2">
        <v>0</v>
      </c>
      <c r="R917" s="5">
        <v>179</v>
      </c>
      <c r="S917" s="5">
        <v>0</v>
      </c>
      <c r="T917" s="2">
        <v>179</v>
      </c>
      <c r="U917" t="s">
        <v>3</v>
      </c>
      <c r="V917" t="s">
        <v>154</v>
      </c>
      <c r="W917" s="5">
        <v>150.41999999999999</v>
      </c>
    </row>
    <row r="918" spans="1:23" ht="15" x14ac:dyDescent="0.2">
      <c r="A918" t="s">
        <v>1009</v>
      </c>
      <c r="B918" s="1">
        <f>45929</f>
        <v>45929</v>
      </c>
      <c r="C918" t="s">
        <v>0</v>
      </c>
      <c r="D918">
        <v>108108</v>
      </c>
      <c r="E918" s="2">
        <v>25004889</v>
      </c>
      <c r="F918" s="2">
        <v>1</v>
      </c>
      <c r="G918" t="s">
        <v>1531</v>
      </c>
      <c r="H918" t="s">
        <v>1211</v>
      </c>
      <c r="I918" t="s">
        <v>2003</v>
      </c>
      <c r="J918" t="s">
        <v>1325</v>
      </c>
      <c r="K918" s="3">
        <v>1</v>
      </c>
      <c r="L918" s="4">
        <v>27.9</v>
      </c>
      <c r="O918" t="s">
        <v>2</v>
      </c>
      <c r="P918" t="s">
        <v>965</v>
      </c>
      <c r="Q918" s="2">
        <v>0</v>
      </c>
      <c r="R918" s="5">
        <v>27.9</v>
      </c>
      <c r="S918" s="5">
        <v>0</v>
      </c>
      <c r="T918" s="2">
        <v>28</v>
      </c>
      <c r="U918" t="s">
        <v>3</v>
      </c>
      <c r="V918" t="s">
        <v>339</v>
      </c>
      <c r="W918" s="5">
        <v>23.45</v>
      </c>
    </row>
    <row r="919" spans="1:23" ht="15" x14ac:dyDescent="0.2">
      <c r="A919" t="s">
        <v>1009</v>
      </c>
      <c r="B919" s="1">
        <f>45929</f>
        <v>45929</v>
      </c>
      <c r="C919" t="s">
        <v>0</v>
      </c>
      <c r="D919">
        <v>108108</v>
      </c>
      <c r="E919" s="2">
        <v>25004890</v>
      </c>
      <c r="F919" s="2">
        <v>1</v>
      </c>
      <c r="G919" t="s">
        <v>1442</v>
      </c>
      <c r="H919" t="s">
        <v>1124</v>
      </c>
      <c r="I919" t="s">
        <v>1851</v>
      </c>
      <c r="J919" t="s">
        <v>1323</v>
      </c>
      <c r="K919" s="3">
        <v>1</v>
      </c>
      <c r="L919" s="4">
        <v>22.9</v>
      </c>
      <c r="O919" t="s">
        <v>2</v>
      </c>
      <c r="P919" t="s">
        <v>966</v>
      </c>
      <c r="Q919" s="2">
        <v>0</v>
      </c>
      <c r="R919" s="5">
        <v>22.9</v>
      </c>
      <c r="S919" s="5">
        <v>0</v>
      </c>
      <c r="T919" s="2">
        <v>23</v>
      </c>
      <c r="U919" t="s">
        <v>3</v>
      </c>
      <c r="V919" t="s">
        <v>201</v>
      </c>
      <c r="W919" s="5">
        <v>19.239999999999998</v>
      </c>
    </row>
    <row r="920" spans="1:23" ht="15" x14ac:dyDescent="0.2">
      <c r="A920" t="s">
        <v>1009</v>
      </c>
      <c r="B920" s="1">
        <f>45929</f>
        <v>45929</v>
      </c>
      <c r="C920" t="s">
        <v>0</v>
      </c>
      <c r="D920">
        <v>108108</v>
      </c>
      <c r="E920" s="2">
        <v>25004891</v>
      </c>
      <c r="F920" s="2">
        <v>1</v>
      </c>
      <c r="G920" t="s">
        <v>1387</v>
      </c>
      <c r="H920" t="s">
        <v>1069</v>
      </c>
      <c r="I920" t="s">
        <v>1647</v>
      </c>
      <c r="J920" t="s">
        <v>1323</v>
      </c>
      <c r="K920" s="3">
        <v>1</v>
      </c>
      <c r="L920" s="4">
        <v>26.9</v>
      </c>
      <c r="O920" t="s">
        <v>2</v>
      </c>
      <c r="P920" t="s">
        <v>967</v>
      </c>
      <c r="Q920" s="2">
        <v>0</v>
      </c>
      <c r="R920" s="5">
        <v>26.9</v>
      </c>
      <c r="S920" s="5">
        <v>0</v>
      </c>
      <c r="T920" s="2">
        <v>27</v>
      </c>
      <c r="U920" t="s">
        <v>3</v>
      </c>
      <c r="V920" t="s">
        <v>1322</v>
      </c>
      <c r="W920" s="5">
        <v>22.61</v>
      </c>
    </row>
    <row r="921" spans="1:23" ht="15" x14ac:dyDescent="0.2">
      <c r="A921" t="s">
        <v>1009</v>
      </c>
      <c r="B921" s="1">
        <f>45929</f>
        <v>45929</v>
      </c>
      <c r="C921" t="s">
        <v>0</v>
      </c>
      <c r="D921">
        <v>108108</v>
      </c>
      <c r="E921" s="2">
        <v>25004892</v>
      </c>
      <c r="F921" s="2">
        <v>1</v>
      </c>
      <c r="G921" t="s">
        <v>1397</v>
      </c>
      <c r="H921" t="s">
        <v>1079</v>
      </c>
      <c r="I921" t="s">
        <v>1647</v>
      </c>
      <c r="J921" t="s">
        <v>1323</v>
      </c>
      <c r="K921" s="3">
        <v>1</v>
      </c>
      <c r="L921" s="4">
        <v>29.9</v>
      </c>
      <c r="O921" t="s">
        <v>2</v>
      </c>
      <c r="P921" t="s">
        <v>968</v>
      </c>
      <c r="Q921" s="2">
        <v>0</v>
      </c>
      <c r="R921" s="5">
        <v>29.9</v>
      </c>
      <c r="S921" s="5">
        <v>0</v>
      </c>
      <c r="T921" s="2">
        <v>30</v>
      </c>
      <c r="U921" t="s">
        <v>3</v>
      </c>
      <c r="V921" t="s">
        <v>1322</v>
      </c>
      <c r="W921" s="5">
        <v>25.13</v>
      </c>
    </row>
    <row r="922" spans="1:23" ht="15" x14ac:dyDescent="0.2">
      <c r="A922" t="s">
        <v>1009</v>
      </c>
      <c r="B922" s="1">
        <f>45929</f>
        <v>45929</v>
      </c>
      <c r="C922" t="s">
        <v>0</v>
      </c>
      <c r="D922">
        <v>108108</v>
      </c>
      <c r="E922" s="2">
        <v>25004893</v>
      </c>
      <c r="F922" s="2">
        <v>1</v>
      </c>
      <c r="G922" t="s">
        <v>1434</v>
      </c>
      <c r="H922" t="s">
        <v>1116</v>
      </c>
      <c r="I922" t="s">
        <v>1974</v>
      </c>
      <c r="J922" t="s">
        <v>1323</v>
      </c>
      <c r="K922" s="3">
        <v>1</v>
      </c>
      <c r="L922" s="4">
        <v>22.9</v>
      </c>
      <c r="O922" t="s">
        <v>2</v>
      </c>
      <c r="P922" t="s">
        <v>969</v>
      </c>
      <c r="Q922" s="2">
        <v>0</v>
      </c>
      <c r="R922" s="5">
        <v>22.9</v>
      </c>
      <c r="S922" s="5">
        <v>0</v>
      </c>
      <c r="T922" s="2">
        <v>23</v>
      </c>
      <c r="U922" t="s">
        <v>3</v>
      </c>
      <c r="V922" t="s">
        <v>314</v>
      </c>
      <c r="W922" s="5">
        <v>19.239999999999998</v>
      </c>
    </row>
    <row r="923" spans="1:23" ht="15" x14ac:dyDescent="0.2">
      <c r="A923" t="s">
        <v>1009</v>
      </c>
      <c r="B923" s="1">
        <f>45929</f>
        <v>45929</v>
      </c>
      <c r="C923" t="s">
        <v>0</v>
      </c>
      <c r="D923">
        <v>108108</v>
      </c>
      <c r="E923" s="2">
        <v>25004894</v>
      </c>
      <c r="F923" s="2">
        <v>1</v>
      </c>
      <c r="G923" t="s">
        <v>1458</v>
      </c>
      <c r="H923" t="s">
        <v>1140</v>
      </c>
      <c r="I923" t="s">
        <v>1647</v>
      </c>
      <c r="J923" t="s">
        <v>1323</v>
      </c>
      <c r="K923" s="3">
        <v>1</v>
      </c>
      <c r="L923" s="4">
        <v>27.9</v>
      </c>
      <c r="O923" t="s">
        <v>2</v>
      </c>
      <c r="P923" t="s">
        <v>970</v>
      </c>
      <c r="Q923" s="2">
        <v>0</v>
      </c>
      <c r="R923" s="5">
        <v>27.9</v>
      </c>
      <c r="S923" s="5">
        <v>0</v>
      </c>
      <c r="T923" s="2">
        <v>28</v>
      </c>
      <c r="U923" t="s">
        <v>3</v>
      </c>
      <c r="V923" t="s">
        <v>1322</v>
      </c>
      <c r="W923" s="5">
        <v>23.45</v>
      </c>
    </row>
    <row r="924" spans="1:23" ht="15" x14ac:dyDescent="0.2">
      <c r="A924" t="s">
        <v>1009</v>
      </c>
      <c r="B924" s="1">
        <f>45929</f>
        <v>45929</v>
      </c>
      <c r="C924" t="s">
        <v>0</v>
      </c>
      <c r="D924">
        <v>108108</v>
      </c>
      <c r="E924" s="2">
        <v>25004895</v>
      </c>
      <c r="F924" s="2">
        <v>1</v>
      </c>
      <c r="G924" t="s">
        <v>1330</v>
      </c>
      <c r="H924" t="s">
        <v>1013</v>
      </c>
      <c r="I924" t="s">
        <v>1657</v>
      </c>
      <c r="J924" t="s">
        <v>1323</v>
      </c>
      <c r="K924" s="3">
        <v>1</v>
      </c>
      <c r="L924" s="4">
        <v>21.9</v>
      </c>
      <c r="O924" t="s">
        <v>2</v>
      </c>
      <c r="P924" t="s">
        <v>971</v>
      </c>
      <c r="Q924" s="2">
        <v>0</v>
      </c>
      <c r="R924" s="5">
        <v>21.9</v>
      </c>
      <c r="S924" s="5">
        <v>0</v>
      </c>
      <c r="T924" s="2">
        <v>22</v>
      </c>
      <c r="U924" t="s">
        <v>3</v>
      </c>
      <c r="V924" t="s">
        <v>13</v>
      </c>
      <c r="W924" s="5">
        <v>22.6</v>
      </c>
    </row>
    <row r="925" spans="1:23" ht="15" x14ac:dyDescent="0.2">
      <c r="A925" t="s">
        <v>1009</v>
      </c>
      <c r="B925" s="1">
        <f>45929</f>
        <v>45929</v>
      </c>
      <c r="C925" t="s">
        <v>0</v>
      </c>
      <c r="D925">
        <v>108108</v>
      </c>
      <c r="E925" s="2">
        <v>25004895</v>
      </c>
      <c r="F925" s="2">
        <v>2</v>
      </c>
      <c r="G925" t="s">
        <v>1332</v>
      </c>
      <c r="H925" t="s">
        <v>362</v>
      </c>
      <c r="I925" t="s">
        <v>1657</v>
      </c>
      <c r="J925" t="s">
        <v>1323</v>
      </c>
      <c r="K925" s="3">
        <v>1</v>
      </c>
      <c r="L925" s="4">
        <v>5</v>
      </c>
      <c r="O925" t="s">
        <v>2</v>
      </c>
      <c r="P925" t="s">
        <v>971</v>
      </c>
      <c r="Q925" s="2">
        <v>0</v>
      </c>
      <c r="R925" s="5">
        <v>5</v>
      </c>
      <c r="S925" s="5">
        <v>0</v>
      </c>
      <c r="T925" s="2">
        <v>5</v>
      </c>
      <c r="U925" t="s">
        <v>3</v>
      </c>
      <c r="V925" t="s">
        <v>13</v>
      </c>
      <c r="W925" s="5">
        <v>22.6</v>
      </c>
    </row>
    <row r="926" spans="1:23" ht="15" x14ac:dyDescent="0.2">
      <c r="A926" t="s">
        <v>1009</v>
      </c>
      <c r="B926" s="1">
        <f>45929</f>
        <v>45929</v>
      </c>
      <c r="C926" t="s">
        <v>0</v>
      </c>
      <c r="D926">
        <v>108108</v>
      </c>
      <c r="E926" s="2">
        <v>25004896</v>
      </c>
      <c r="F926" s="2">
        <v>1</v>
      </c>
      <c r="G926" t="s">
        <v>1469</v>
      </c>
      <c r="H926" t="s">
        <v>1150</v>
      </c>
      <c r="I926" t="s">
        <v>1647</v>
      </c>
      <c r="J926" t="s">
        <v>1323</v>
      </c>
      <c r="K926" s="3">
        <v>1</v>
      </c>
      <c r="L926" s="4">
        <v>27.5</v>
      </c>
      <c r="O926" t="s">
        <v>2</v>
      </c>
      <c r="P926" t="s">
        <v>972</v>
      </c>
      <c r="Q926" s="2">
        <v>0</v>
      </c>
      <c r="R926" s="5">
        <v>27.5</v>
      </c>
      <c r="S926" s="5">
        <v>0</v>
      </c>
      <c r="T926" s="2">
        <v>28</v>
      </c>
      <c r="U926" t="s">
        <v>3</v>
      </c>
      <c r="V926" t="s">
        <v>1322</v>
      </c>
      <c r="W926" s="5">
        <v>23.11</v>
      </c>
    </row>
    <row r="927" spans="1:23" ht="15" x14ac:dyDescent="0.2">
      <c r="A927" t="s">
        <v>1009</v>
      </c>
      <c r="B927" s="1">
        <f>45929</f>
        <v>45929</v>
      </c>
      <c r="C927" t="s">
        <v>0</v>
      </c>
      <c r="D927">
        <v>108108</v>
      </c>
      <c r="E927" s="2">
        <v>25004897</v>
      </c>
      <c r="F927" s="2">
        <v>1</v>
      </c>
      <c r="G927" t="s">
        <v>1449</v>
      </c>
      <c r="H927" t="s">
        <v>1131</v>
      </c>
      <c r="I927" t="s">
        <v>2004</v>
      </c>
      <c r="J927" t="s">
        <v>1323</v>
      </c>
      <c r="K927" s="3">
        <v>1</v>
      </c>
      <c r="L927" s="4">
        <v>7.88</v>
      </c>
      <c r="O927" t="s">
        <v>2</v>
      </c>
      <c r="P927" t="s">
        <v>973</v>
      </c>
      <c r="Q927" s="2">
        <v>25</v>
      </c>
      <c r="R927" s="5">
        <v>10.5</v>
      </c>
      <c r="S927" s="5">
        <v>2.62</v>
      </c>
      <c r="T927" s="2">
        <v>8</v>
      </c>
      <c r="U927" t="s">
        <v>3</v>
      </c>
      <c r="V927" t="s">
        <v>200</v>
      </c>
      <c r="W927" s="5">
        <v>39.22</v>
      </c>
    </row>
    <row r="928" spans="1:23" ht="15" x14ac:dyDescent="0.2">
      <c r="A928" t="s">
        <v>1009</v>
      </c>
      <c r="B928" s="1">
        <f>45929</f>
        <v>45929</v>
      </c>
      <c r="C928" t="s">
        <v>0</v>
      </c>
      <c r="D928">
        <v>108108</v>
      </c>
      <c r="E928" s="2">
        <v>25004897</v>
      </c>
      <c r="F928" s="2">
        <v>2</v>
      </c>
      <c r="G928" t="s">
        <v>1437</v>
      </c>
      <c r="H928" t="s">
        <v>1119</v>
      </c>
      <c r="I928" t="s">
        <v>2004</v>
      </c>
      <c r="J928" t="s">
        <v>1323</v>
      </c>
      <c r="K928" s="3">
        <v>1</v>
      </c>
      <c r="L928" s="4">
        <v>7.43</v>
      </c>
      <c r="O928" t="s">
        <v>2</v>
      </c>
      <c r="P928" t="s">
        <v>973</v>
      </c>
      <c r="Q928" s="2">
        <v>25</v>
      </c>
      <c r="R928" s="5">
        <v>9.9</v>
      </c>
      <c r="S928" s="5">
        <v>2.4700000000000002</v>
      </c>
      <c r="T928" s="2">
        <v>7</v>
      </c>
      <c r="U928" t="s">
        <v>3</v>
      </c>
      <c r="V928" t="s">
        <v>200</v>
      </c>
      <c r="W928" s="5">
        <v>39.22</v>
      </c>
    </row>
    <row r="929" spans="1:23" ht="15" x14ac:dyDescent="0.2">
      <c r="A929" t="s">
        <v>1009</v>
      </c>
      <c r="B929" s="1">
        <f>45929</f>
        <v>45929</v>
      </c>
      <c r="C929" t="s">
        <v>0</v>
      </c>
      <c r="D929">
        <v>108108</v>
      </c>
      <c r="E929" s="2">
        <v>25004897</v>
      </c>
      <c r="F929" s="2">
        <v>3</v>
      </c>
      <c r="G929" t="s">
        <v>1488</v>
      </c>
      <c r="H929" t="s">
        <v>1169</v>
      </c>
      <c r="I929" t="s">
        <v>2004</v>
      </c>
      <c r="J929" t="s">
        <v>1323</v>
      </c>
      <c r="K929" s="3">
        <v>1</v>
      </c>
      <c r="L929" s="4">
        <v>13.43</v>
      </c>
      <c r="O929" t="s">
        <v>2</v>
      </c>
      <c r="P929" t="s">
        <v>973</v>
      </c>
      <c r="Q929" s="2">
        <v>25</v>
      </c>
      <c r="R929" s="5">
        <v>17.899999999999999</v>
      </c>
      <c r="S929" s="5">
        <v>4.47</v>
      </c>
      <c r="T929" s="2">
        <v>13</v>
      </c>
      <c r="U929" t="s">
        <v>3</v>
      </c>
      <c r="V929" t="s">
        <v>200</v>
      </c>
      <c r="W929" s="5">
        <v>39.22</v>
      </c>
    </row>
    <row r="930" spans="1:23" ht="15" x14ac:dyDescent="0.2">
      <c r="A930" t="s">
        <v>1009</v>
      </c>
      <c r="B930" s="1">
        <f>45929</f>
        <v>45929</v>
      </c>
      <c r="C930" t="s">
        <v>0</v>
      </c>
      <c r="D930">
        <v>108108</v>
      </c>
      <c r="E930" s="2">
        <v>25004897</v>
      </c>
      <c r="F930" s="2">
        <v>4</v>
      </c>
      <c r="G930" t="s">
        <v>1476</v>
      </c>
      <c r="H930" t="s">
        <v>1157</v>
      </c>
      <c r="I930" t="s">
        <v>2004</v>
      </c>
      <c r="J930" t="s">
        <v>1323</v>
      </c>
      <c r="K930" s="3">
        <v>1</v>
      </c>
      <c r="L930" s="4">
        <v>17.93</v>
      </c>
      <c r="O930" t="s">
        <v>2</v>
      </c>
      <c r="P930" t="s">
        <v>973</v>
      </c>
      <c r="Q930" s="2">
        <v>25</v>
      </c>
      <c r="R930" s="5">
        <v>23.9</v>
      </c>
      <c r="S930" s="5">
        <v>5.97</v>
      </c>
      <c r="T930" s="2">
        <v>18</v>
      </c>
      <c r="U930" t="s">
        <v>3</v>
      </c>
      <c r="V930" t="s">
        <v>200</v>
      </c>
      <c r="W930" s="5">
        <v>39.22</v>
      </c>
    </row>
    <row r="931" spans="1:23" ht="15" x14ac:dyDescent="0.2">
      <c r="A931" t="s">
        <v>1009</v>
      </c>
      <c r="B931" s="1">
        <f>45929</f>
        <v>45929</v>
      </c>
      <c r="C931" t="s">
        <v>0</v>
      </c>
      <c r="D931">
        <v>108108</v>
      </c>
      <c r="E931" s="2">
        <v>25004898</v>
      </c>
      <c r="F931" s="2">
        <v>1</v>
      </c>
      <c r="G931" t="s">
        <v>1371</v>
      </c>
      <c r="H931" t="s">
        <v>1053</v>
      </c>
      <c r="I931" t="s">
        <v>2005</v>
      </c>
      <c r="J931" t="s">
        <v>1323</v>
      </c>
      <c r="K931" s="3">
        <v>1</v>
      </c>
      <c r="L931" s="4">
        <v>7.6</v>
      </c>
      <c r="O931" t="s">
        <v>2</v>
      </c>
      <c r="P931" t="s">
        <v>974</v>
      </c>
      <c r="Q931" s="2">
        <v>10</v>
      </c>
      <c r="R931" s="5">
        <v>8.4499999999999993</v>
      </c>
      <c r="S931" s="5">
        <v>0.85</v>
      </c>
      <c r="T931" s="2">
        <v>8</v>
      </c>
      <c r="U931" t="s">
        <v>3</v>
      </c>
      <c r="V931" t="s">
        <v>340</v>
      </c>
      <c r="W931" s="5">
        <v>29</v>
      </c>
    </row>
    <row r="932" spans="1:23" ht="15" x14ac:dyDescent="0.2">
      <c r="A932" t="s">
        <v>1009</v>
      </c>
      <c r="B932" s="1">
        <f>45929</f>
        <v>45929</v>
      </c>
      <c r="C932" t="s">
        <v>0</v>
      </c>
      <c r="D932">
        <v>108108</v>
      </c>
      <c r="E932" s="2">
        <v>25004898</v>
      </c>
      <c r="F932" s="2">
        <v>2</v>
      </c>
      <c r="G932" t="s">
        <v>1639</v>
      </c>
      <c r="H932" t="s">
        <v>1315</v>
      </c>
      <c r="I932" t="s">
        <v>2005</v>
      </c>
      <c r="J932" t="s">
        <v>1323</v>
      </c>
      <c r="K932" s="3">
        <v>1</v>
      </c>
      <c r="L932" s="4">
        <v>26.9</v>
      </c>
      <c r="O932" t="s">
        <v>2</v>
      </c>
      <c r="P932" t="s">
        <v>974</v>
      </c>
      <c r="Q932" s="2">
        <v>10</v>
      </c>
      <c r="R932" s="5">
        <v>29.9</v>
      </c>
      <c r="S932" s="5">
        <v>3</v>
      </c>
      <c r="T932" s="2">
        <v>27</v>
      </c>
      <c r="U932" t="s">
        <v>3</v>
      </c>
      <c r="V932" t="s">
        <v>340</v>
      </c>
      <c r="W932" s="5">
        <v>29</v>
      </c>
    </row>
    <row r="933" spans="1:23" ht="15" x14ac:dyDescent="0.2">
      <c r="A933" t="s">
        <v>1009</v>
      </c>
      <c r="B933" s="1">
        <f>45929</f>
        <v>45929</v>
      </c>
      <c r="C933" t="s">
        <v>0</v>
      </c>
      <c r="D933">
        <v>108108</v>
      </c>
      <c r="E933" s="2">
        <v>25004899</v>
      </c>
      <c r="F933" s="2">
        <v>1</v>
      </c>
      <c r="G933" t="s">
        <v>1351</v>
      </c>
      <c r="H933" t="s">
        <v>1033</v>
      </c>
      <c r="I933" t="s">
        <v>1647</v>
      </c>
      <c r="J933" t="s">
        <v>1323</v>
      </c>
      <c r="K933" s="3">
        <v>1</v>
      </c>
      <c r="L933" s="4">
        <v>21.9</v>
      </c>
      <c r="O933" t="s">
        <v>2</v>
      </c>
      <c r="P933" t="s">
        <v>975</v>
      </c>
      <c r="Q933" s="2">
        <v>0</v>
      </c>
      <c r="R933" s="5">
        <v>21.9</v>
      </c>
      <c r="S933" s="5">
        <v>0</v>
      </c>
      <c r="T933" s="2">
        <v>22</v>
      </c>
      <c r="U933" t="s">
        <v>3</v>
      </c>
      <c r="V933" t="s">
        <v>1322</v>
      </c>
      <c r="W933" s="5">
        <v>18.399999999999999</v>
      </c>
    </row>
    <row r="934" spans="1:23" ht="15" x14ac:dyDescent="0.2">
      <c r="A934" t="s">
        <v>1009</v>
      </c>
      <c r="B934" s="1">
        <f>45929</f>
        <v>45929</v>
      </c>
      <c r="C934" t="s">
        <v>0</v>
      </c>
      <c r="D934">
        <v>108108</v>
      </c>
      <c r="E934" s="2">
        <v>25004900</v>
      </c>
      <c r="F934" s="2">
        <v>1</v>
      </c>
      <c r="G934" t="s">
        <v>1615</v>
      </c>
      <c r="H934" t="s">
        <v>1293</v>
      </c>
      <c r="I934" t="s">
        <v>2006</v>
      </c>
      <c r="J934" t="s">
        <v>1323</v>
      </c>
      <c r="K934" s="3">
        <v>1</v>
      </c>
      <c r="L934" s="4">
        <v>40</v>
      </c>
      <c r="O934" t="s">
        <v>2</v>
      </c>
      <c r="P934" t="s">
        <v>976</v>
      </c>
      <c r="Q934" s="2">
        <v>0</v>
      </c>
      <c r="R934" s="5">
        <v>40</v>
      </c>
      <c r="S934" s="5">
        <v>0</v>
      </c>
      <c r="T934" s="2">
        <v>40</v>
      </c>
      <c r="U934" t="s">
        <v>3</v>
      </c>
      <c r="V934" t="s">
        <v>341</v>
      </c>
      <c r="W934" s="5">
        <v>73.86</v>
      </c>
    </row>
    <row r="935" spans="1:23" ht="15" x14ac:dyDescent="0.2">
      <c r="A935" t="s">
        <v>1009</v>
      </c>
      <c r="B935" s="1">
        <f>45929</f>
        <v>45929</v>
      </c>
      <c r="C935" t="s">
        <v>0</v>
      </c>
      <c r="D935">
        <v>108108</v>
      </c>
      <c r="E935" s="2">
        <v>25004900</v>
      </c>
      <c r="F935" s="2">
        <v>2</v>
      </c>
      <c r="G935" t="s">
        <v>1409</v>
      </c>
      <c r="H935" t="s">
        <v>1091</v>
      </c>
      <c r="I935" t="s">
        <v>2006</v>
      </c>
      <c r="J935" t="s">
        <v>1323</v>
      </c>
      <c r="K935" s="3">
        <v>1</v>
      </c>
      <c r="L935" s="4">
        <v>47.9</v>
      </c>
      <c r="O935" t="s">
        <v>2</v>
      </c>
      <c r="P935" t="s">
        <v>976</v>
      </c>
      <c r="Q935" s="2">
        <v>0</v>
      </c>
      <c r="R935" s="5">
        <v>47.9</v>
      </c>
      <c r="S935" s="5">
        <v>0</v>
      </c>
      <c r="T935" s="2">
        <v>48</v>
      </c>
      <c r="U935" t="s">
        <v>3</v>
      </c>
      <c r="V935" t="s">
        <v>341</v>
      </c>
      <c r="W935" s="5">
        <v>73.86</v>
      </c>
    </row>
    <row r="936" spans="1:23" ht="15" x14ac:dyDescent="0.2">
      <c r="A936" t="s">
        <v>1009</v>
      </c>
      <c r="B936" s="1">
        <f>45929</f>
        <v>45929</v>
      </c>
      <c r="C936" t="s">
        <v>0</v>
      </c>
      <c r="D936">
        <v>108108</v>
      </c>
      <c r="E936" s="2">
        <v>25004901</v>
      </c>
      <c r="F936" s="2">
        <v>1</v>
      </c>
      <c r="G936" t="s">
        <v>1646</v>
      </c>
      <c r="H936" t="s">
        <v>361</v>
      </c>
      <c r="I936" t="s">
        <v>1647</v>
      </c>
      <c r="J936" t="s">
        <v>1323</v>
      </c>
      <c r="K936" s="3">
        <v>1</v>
      </c>
      <c r="L936" s="4">
        <v>-450</v>
      </c>
      <c r="Q936" s="2">
        <v>0</v>
      </c>
      <c r="R936" s="5">
        <v>-450</v>
      </c>
      <c r="S936" s="5">
        <v>0</v>
      </c>
      <c r="T936" s="2">
        <v>-450</v>
      </c>
      <c r="U936" t="s">
        <v>1</v>
      </c>
      <c r="V936" t="s">
        <v>361</v>
      </c>
      <c r="W936" s="5">
        <v>-450</v>
      </c>
    </row>
    <row r="937" spans="1:23" ht="15" x14ac:dyDescent="0.2">
      <c r="A937" t="s">
        <v>1009</v>
      </c>
      <c r="B937" s="1">
        <f>45930</f>
        <v>45930</v>
      </c>
      <c r="C937" t="s">
        <v>0</v>
      </c>
      <c r="D937">
        <v>108108</v>
      </c>
      <c r="E937" s="2">
        <v>25004902</v>
      </c>
      <c r="F937" s="2">
        <v>1</v>
      </c>
      <c r="G937" t="s">
        <v>1646</v>
      </c>
      <c r="H937" t="s">
        <v>361</v>
      </c>
      <c r="I937" t="s">
        <v>1647</v>
      </c>
      <c r="J937" t="s">
        <v>1323</v>
      </c>
      <c r="K937" s="3">
        <v>1</v>
      </c>
      <c r="L937" s="4">
        <v>450</v>
      </c>
      <c r="Q937" s="2">
        <v>0</v>
      </c>
      <c r="R937" s="5">
        <v>450</v>
      </c>
      <c r="S937" s="5">
        <v>0</v>
      </c>
      <c r="T937" s="2">
        <v>450</v>
      </c>
      <c r="U937" t="s">
        <v>1</v>
      </c>
      <c r="V937" t="s">
        <v>361</v>
      </c>
      <c r="W937" s="5">
        <v>450</v>
      </c>
    </row>
    <row r="938" spans="1:23" ht="15" x14ac:dyDescent="0.2">
      <c r="A938" t="s">
        <v>1009</v>
      </c>
      <c r="B938" s="1">
        <f>45930</f>
        <v>45930</v>
      </c>
      <c r="C938" t="s">
        <v>0</v>
      </c>
      <c r="D938">
        <v>108108</v>
      </c>
      <c r="E938" s="2">
        <v>25004903</v>
      </c>
      <c r="F938" s="2">
        <v>1</v>
      </c>
      <c r="G938" t="s">
        <v>1640</v>
      </c>
      <c r="H938" t="s">
        <v>1316</v>
      </c>
      <c r="I938" t="s">
        <v>1647</v>
      </c>
      <c r="J938" t="s">
        <v>1323</v>
      </c>
      <c r="K938" s="3">
        <v>1</v>
      </c>
      <c r="L938" s="4">
        <v>22.9</v>
      </c>
      <c r="O938" t="s">
        <v>2</v>
      </c>
      <c r="P938" t="s">
        <v>977</v>
      </c>
      <c r="Q938" s="2">
        <v>0</v>
      </c>
      <c r="R938" s="5">
        <v>22.9</v>
      </c>
      <c r="S938" s="5">
        <v>0</v>
      </c>
      <c r="T938" s="2">
        <v>23</v>
      </c>
      <c r="U938" t="s">
        <v>3</v>
      </c>
      <c r="V938" t="s">
        <v>1322</v>
      </c>
      <c r="W938" s="5">
        <v>19.239999999999998</v>
      </c>
    </row>
    <row r="939" spans="1:23" ht="15" x14ac:dyDescent="0.2">
      <c r="A939" t="s">
        <v>1009</v>
      </c>
      <c r="B939" s="1">
        <f>45930</f>
        <v>45930</v>
      </c>
      <c r="C939" t="s">
        <v>0</v>
      </c>
      <c r="D939">
        <v>108108</v>
      </c>
      <c r="E939" s="2">
        <v>25004904</v>
      </c>
      <c r="F939" s="2">
        <v>1</v>
      </c>
      <c r="G939" t="s">
        <v>1641</v>
      </c>
      <c r="H939" t="s">
        <v>1317</v>
      </c>
      <c r="I939" t="s">
        <v>2007</v>
      </c>
      <c r="J939" t="s">
        <v>1323</v>
      </c>
      <c r="K939" s="3">
        <v>1</v>
      </c>
      <c r="L939" s="4">
        <v>33.9</v>
      </c>
      <c r="O939" t="s">
        <v>2</v>
      </c>
      <c r="P939" t="s">
        <v>978</v>
      </c>
      <c r="Q939" s="2">
        <v>0</v>
      </c>
      <c r="R939" s="5">
        <v>33.9</v>
      </c>
      <c r="S939" s="5">
        <v>0</v>
      </c>
      <c r="T939" s="2">
        <v>34</v>
      </c>
      <c r="U939" t="s">
        <v>3</v>
      </c>
      <c r="V939" t="s">
        <v>342</v>
      </c>
      <c r="W939" s="5">
        <v>32.69</v>
      </c>
    </row>
    <row r="940" spans="1:23" ht="15" x14ac:dyDescent="0.2">
      <c r="A940" t="s">
        <v>1009</v>
      </c>
      <c r="B940" s="1">
        <f>45930</f>
        <v>45930</v>
      </c>
      <c r="C940" t="s">
        <v>0</v>
      </c>
      <c r="D940">
        <v>108108</v>
      </c>
      <c r="E940" s="2">
        <v>25004904</v>
      </c>
      <c r="F940" s="2">
        <v>2</v>
      </c>
      <c r="G940" t="s">
        <v>1332</v>
      </c>
      <c r="H940" t="s">
        <v>362</v>
      </c>
      <c r="I940" t="s">
        <v>2007</v>
      </c>
      <c r="J940" t="s">
        <v>1323</v>
      </c>
      <c r="K940" s="3">
        <v>1</v>
      </c>
      <c r="L940" s="4">
        <v>5</v>
      </c>
      <c r="O940" t="s">
        <v>2</v>
      </c>
      <c r="P940" t="s">
        <v>978</v>
      </c>
      <c r="Q940" s="2">
        <v>0</v>
      </c>
      <c r="R940" s="5">
        <v>5</v>
      </c>
      <c r="S940" s="5">
        <v>0</v>
      </c>
      <c r="T940" s="2">
        <v>5</v>
      </c>
      <c r="U940" t="s">
        <v>3</v>
      </c>
      <c r="V940" t="s">
        <v>342</v>
      </c>
      <c r="W940" s="5">
        <v>32.69</v>
      </c>
    </row>
    <row r="941" spans="1:23" ht="15" x14ac:dyDescent="0.2">
      <c r="A941" t="s">
        <v>1009</v>
      </c>
      <c r="B941" s="1">
        <f>45930</f>
        <v>45930</v>
      </c>
      <c r="C941" t="s">
        <v>0</v>
      </c>
      <c r="D941">
        <v>108108</v>
      </c>
      <c r="E941" s="2">
        <v>25004905</v>
      </c>
      <c r="F941" s="2">
        <v>1</v>
      </c>
      <c r="G941" t="s">
        <v>1642</v>
      </c>
      <c r="H941" t="s">
        <v>1318</v>
      </c>
      <c r="I941" t="s">
        <v>2008</v>
      </c>
      <c r="J941" t="s">
        <v>1323</v>
      </c>
      <c r="K941" s="3">
        <v>1</v>
      </c>
      <c r="L941" s="4">
        <v>30.9</v>
      </c>
      <c r="O941" t="s">
        <v>2</v>
      </c>
      <c r="P941" t="s">
        <v>979</v>
      </c>
      <c r="Q941" s="2">
        <v>0</v>
      </c>
      <c r="R941" s="5">
        <v>30.9</v>
      </c>
      <c r="S941" s="5">
        <v>0</v>
      </c>
      <c r="T941" s="2">
        <v>31</v>
      </c>
      <c r="U941" t="s">
        <v>3</v>
      </c>
      <c r="V941" t="s">
        <v>343</v>
      </c>
      <c r="W941" s="5">
        <v>93.2</v>
      </c>
    </row>
    <row r="942" spans="1:23" ht="15" x14ac:dyDescent="0.2">
      <c r="A942" t="s">
        <v>1009</v>
      </c>
      <c r="B942" s="1">
        <f>45930</f>
        <v>45930</v>
      </c>
      <c r="C942" t="s">
        <v>0</v>
      </c>
      <c r="D942">
        <v>108108</v>
      </c>
      <c r="E942" s="2">
        <v>25004905</v>
      </c>
      <c r="F942" s="2">
        <v>2</v>
      </c>
      <c r="G942" t="s">
        <v>1424</v>
      </c>
      <c r="H942" t="s">
        <v>1106</v>
      </c>
      <c r="I942" t="s">
        <v>2008</v>
      </c>
      <c r="J942" t="s">
        <v>1323</v>
      </c>
      <c r="K942" s="3">
        <v>1</v>
      </c>
      <c r="L942" s="4">
        <v>80</v>
      </c>
      <c r="O942" t="s">
        <v>2</v>
      </c>
      <c r="P942" t="s">
        <v>979</v>
      </c>
      <c r="Q942" s="2">
        <v>0</v>
      </c>
      <c r="R942" s="5">
        <v>80</v>
      </c>
      <c r="S942" s="5">
        <v>0</v>
      </c>
      <c r="T942" s="2">
        <v>80</v>
      </c>
      <c r="U942" t="s">
        <v>3</v>
      </c>
      <c r="V942" t="s">
        <v>343</v>
      </c>
      <c r="W942" s="5">
        <v>93.2</v>
      </c>
    </row>
    <row r="943" spans="1:23" ht="15" x14ac:dyDescent="0.2">
      <c r="A943" t="s">
        <v>1009</v>
      </c>
      <c r="B943" s="1">
        <f>45930</f>
        <v>45930</v>
      </c>
      <c r="C943" t="s">
        <v>0</v>
      </c>
      <c r="D943">
        <v>108108</v>
      </c>
      <c r="E943" s="2">
        <v>25004906</v>
      </c>
      <c r="F943" s="2">
        <v>1</v>
      </c>
      <c r="G943" t="s">
        <v>1360</v>
      </c>
      <c r="H943" t="s">
        <v>1042</v>
      </c>
      <c r="I943" t="s">
        <v>2009</v>
      </c>
      <c r="J943" t="s">
        <v>1323</v>
      </c>
      <c r="K943" s="3">
        <v>1</v>
      </c>
      <c r="L943" s="4">
        <v>22.9</v>
      </c>
      <c r="O943" t="s">
        <v>2</v>
      </c>
      <c r="P943" t="s">
        <v>980</v>
      </c>
      <c r="Q943" s="2">
        <v>0</v>
      </c>
      <c r="R943" s="5">
        <v>22.9</v>
      </c>
      <c r="S943" s="5">
        <v>0</v>
      </c>
      <c r="T943" s="2">
        <v>23</v>
      </c>
      <c r="U943" t="s">
        <v>3</v>
      </c>
      <c r="V943" t="s">
        <v>344</v>
      </c>
      <c r="W943" s="5">
        <v>19.239999999999998</v>
      </c>
    </row>
    <row r="944" spans="1:23" ht="15" x14ac:dyDescent="0.2">
      <c r="A944" t="s">
        <v>1009</v>
      </c>
      <c r="B944" s="1">
        <f>45930</f>
        <v>45930</v>
      </c>
      <c r="C944" t="s">
        <v>0</v>
      </c>
      <c r="D944">
        <v>108108</v>
      </c>
      <c r="E944" s="2">
        <v>25004907</v>
      </c>
      <c r="F944" s="2">
        <v>1</v>
      </c>
      <c r="G944" t="s">
        <v>1557</v>
      </c>
      <c r="H944" t="s">
        <v>1236</v>
      </c>
      <c r="I944" t="s">
        <v>2010</v>
      </c>
      <c r="J944" t="s">
        <v>1323</v>
      </c>
      <c r="K944" s="3">
        <v>1</v>
      </c>
      <c r="L944" s="4">
        <v>60</v>
      </c>
      <c r="O944" t="s">
        <v>2</v>
      </c>
      <c r="P944" t="s">
        <v>981</v>
      </c>
      <c r="Q944" s="2">
        <v>0</v>
      </c>
      <c r="R944" s="5">
        <v>60</v>
      </c>
      <c r="S944" s="5">
        <v>0</v>
      </c>
      <c r="T944" s="2">
        <v>60</v>
      </c>
      <c r="U944" t="s">
        <v>3</v>
      </c>
      <c r="V944" t="s">
        <v>345</v>
      </c>
      <c r="W944" s="5">
        <v>296.47000000000003</v>
      </c>
    </row>
    <row r="945" spans="1:23" ht="15" x14ac:dyDescent="0.2">
      <c r="A945" t="s">
        <v>1009</v>
      </c>
      <c r="B945" s="1">
        <f>45930</f>
        <v>45930</v>
      </c>
      <c r="C945" t="s">
        <v>0</v>
      </c>
      <c r="D945">
        <v>108108</v>
      </c>
      <c r="E945" s="2">
        <v>25004907</v>
      </c>
      <c r="F945" s="2">
        <v>2</v>
      </c>
      <c r="G945" t="s">
        <v>1541</v>
      </c>
      <c r="H945" t="s">
        <v>1220</v>
      </c>
      <c r="I945" t="s">
        <v>2010</v>
      </c>
      <c r="J945" t="s">
        <v>1323</v>
      </c>
      <c r="K945" s="3">
        <v>1</v>
      </c>
      <c r="L945" s="4">
        <v>145</v>
      </c>
      <c r="O945" t="s">
        <v>2</v>
      </c>
      <c r="P945" t="s">
        <v>981</v>
      </c>
      <c r="Q945" s="2">
        <v>0</v>
      </c>
      <c r="R945" s="5">
        <v>145</v>
      </c>
      <c r="S945" s="5">
        <v>0</v>
      </c>
      <c r="T945" s="2">
        <v>145</v>
      </c>
      <c r="U945" t="s">
        <v>3</v>
      </c>
      <c r="V945" t="s">
        <v>345</v>
      </c>
      <c r="W945" s="5">
        <v>296.47000000000003</v>
      </c>
    </row>
    <row r="946" spans="1:23" ht="15" x14ac:dyDescent="0.2">
      <c r="A946" t="s">
        <v>1009</v>
      </c>
      <c r="B946" s="1">
        <f>45930</f>
        <v>45930</v>
      </c>
      <c r="C946" t="s">
        <v>0</v>
      </c>
      <c r="D946">
        <v>108108</v>
      </c>
      <c r="E946" s="2">
        <v>25004907</v>
      </c>
      <c r="F946" s="2">
        <v>3</v>
      </c>
      <c r="G946" t="s">
        <v>1643</v>
      </c>
      <c r="H946" t="s">
        <v>1319</v>
      </c>
      <c r="I946" t="s">
        <v>2010</v>
      </c>
      <c r="J946" t="s">
        <v>1323</v>
      </c>
      <c r="K946" s="3">
        <v>1</v>
      </c>
      <c r="L946" s="4">
        <v>110</v>
      </c>
      <c r="O946" t="s">
        <v>2</v>
      </c>
      <c r="P946" t="s">
        <v>981</v>
      </c>
      <c r="Q946" s="2">
        <v>0</v>
      </c>
      <c r="R946" s="5">
        <v>110</v>
      </c>
      <c r="S946" s="5">
        <v>0</v>
      </c>
      <c r="T946" s="2">
        <v>110</v>
      </c>
      <c r="U946" t="s">
        <v>3</v>
      </c>
      <c r="V946" t="s">
        <v>345</v>
      </c>
      <c r="W946" s="5">
        <v>296.47000000000003</v>
      </c>
    </row>
    <row r="947" spans="1:23" ht="15" x14ac:dyDescent="0.2">
      <c r="A947" t="s">
        <v>1009</v>
      </c>
      <c r="B947" s="1">
        <f>45930</f>
        <v>45930</v>
      </c>
      <c r="C947" t="s">
        <v>0</v>
      </c>
      <c r="D947">
        <v>108108</v>
      </c>
      <c r="E947" s="2">
        <v>25004907</v>
      </c>
      <c r="F947" s="2">
        <v>4</v>
      </c>
      <c r="G947" t="s">
        <v>1644</v>
      </c>
      <c r="H947" t="s">
        <v>1320</v>
      </c>
      <c r="I947" t="s">
        <v>2010</v>
      </c>
      <c r="J947" t="s">
        <v>1323</v>
      </c>
      <c r="K947" s="3">
        <v>1</v>
      </c>
      <c r="L947" s="4">
        <v>18.899999999999999</v>
      </c>
      <c r="O947" t="s">
        <v>2</v>
      </c>
      <c r="P947" t="s">
        <v>981</v>
      </c>
      <c r="Q947" s="2">
        <v>0</v>
      </c>
      <c r="R947" s="5">
        <v>18.899999999999999</v>
      </c>
      <c r="S947" s="5">
        <v>0</v>
      </c>
      <c r="T947" s="2">
        <v>19</v>
      </c>
      <c r="U947" t="s">
        <v>3</v>
      </c>
      <c r="V947" t="s">
        <v>345</v>
      </c>
      <c r="W947" s="5">
        <v>296.47000000000003</v>
      </c>
    </row>
    <row r="948" spans="1:23" ht="15" x14ac:dyDescent="0.2">
      <c r="A948" t="s">
        <v>1009</v>
      </c>
      <c r="B948" s="1">
        <f>45930</f>
        <v>45930</v>
      </c>
      <c r="C948" t="s">
        <v>0</v>
      </c>
      <c r="D948">
        <v>108108</v>
      </c>
      <c r="E948" s="2">
        <v>25004907</v>
      </c>
      <c r="F948" s="2">
        <v>5</v>
      </c>
      <c r="G948" t="s">
        <v>1644</v>
      </c>
      <c r="H948" t="s">
        <v>1320</v>
      </c>
      <c r="I948" t="s">
        <v>2010</v>
      </c>
      <c r="J948" t="s">
        <v>1323</v>
      </c>
      <c r="K948" s="3">
        <v>1</v>
      </c>
      <c r="L948" s="4">
        <v>18.899999999999999</v>
      </c>
      <c r="O948" t="s">
        <v>2</v>
      </c>
      <c r="P948" t="s">
        <v>981</v>
      </c>
      <c r="Q948" s="2">
        <v>0</v>
      </c>
      <c r="R948" s="5">
        <v>18.899999999999999</v>
      </c>
      <c r="S948" s="5">
        <v>0</v>
      </c>
      <c r="T948" s="2">
        <v>19</v>
      </c>
      <c r="U948" t="s">
        <v>3</v>
      </c>
      <c r="V948" t="s">
        <v>345</v>
      </c>
      <c r="W948" s="5">
        <v>296.47000000000003</v>
      </c>
    </row>
    <row r="949" spans="1:23" ht="15" x14ac:dyDescent="0.2">
      <c r="A949" t="s">
        <v>1009</v>
      </c>
      <c r="B949" s="1">
        <f>45930</f>
        <v>45930</v>
      </c>
      <c r="C949" t="s">
        <v>0</v>
      </c>
      <c r="D949">
        <v>108108</v>
      </c>
      <c r="E949" s="2">
        <v>25004908</v>
      </c>
      <c r="F949" s="2">
        <v>1</v>
      </c>
      <c r="G949" t="s">
        <v>1429</v>
      </c>
      <c r="H949" t="s">
        <v>1111</v>
      </c>
      <c r="I949" t="s">
        <v>2011</v>
      </c>
      <c r="J949" t="s">
        <v>1323</v>
      </c>
      <c r="K949" s="3">
        <v>1</v>
      </c>
      <c r="L949" s="4">
        <v>21.9</v>
      </c>
      <c r="O949" t="s">
        <v>2</v>
      </c>
      <c r="P949" t="s">
        <v>982</v>
      </c>
      <c r="Q949" s="2">
        <v>0</v>
      </c>
      <c r="R949" s="5">
        <v>21.9</v>
      </c>
      <c r="S949" s="5">
        <v>0</v>
      </c>
      <c r="T949" s="2">
        <v>22</v>
      </c>
      <c r="U949" t="s">
        <v>3</v>
      </c>
      <c r="V949" t="s">
        <v>346</v>
      </c>
      <c r="W949" s="5">
        <v>22.6</v>
      </c>
    </row>
    <row r="950" spans="1:23" ht="15" x14ac:dyDescent="0.2">
      <c r="A950" t="s">
        <v>1009</v>
      </c>
      <c r="B950" s="1">
        <f>45930</f>
        <v>45930</v>
      </c>
      <c r="C950" t="s">
        <v>0</v>
      </c>
      <c r="D950">
        <v>108108</v>
      </c>
      <c r="E950" s="2">
        <v>25004908</v>
      </c>
      <c r="F950" s="2">
        <v>2</v>
      </c>
      <c r="G950" t="s">
        <v>1332</v>
      </c>
      <c r="H950" t="s">
        <v>362</v>
      </c>
      <c r="I950" t="s">
        <v>2011</v>
      </c>
      <c r="J950" t="s">
        <v>1323</v>
      </c>
      <c r="K950" s="3">
        <v>1</v>
      </c>
      <c r="L950" s="4">
        <v>5</v>
      </c>
      <c r="O950" t="s">
        <v>2</v>
      </c>
      <c r="P950" t="s">
        <v>982</v>
      </c>
      <c r="Q950" s="2">
        <v>0</v>
      </c>
      <c r="R950" s="5">
        <v>5</v>
      </c>
      <c r="S950" s="5">
        <v>0</v>
      </c>
      <c r="T950" s="2">
        <v>5</v>
      </c>
      <c r="U950" t="s">
        <v>3</v>
      </c>
      <c r="V950" t="s">
        <v>346</v>
      </c>
      <c r="W950" s="5">
        <v>22.6</v>
      </c>
    </row>
    <row r="951" spans="1:23" ht="15" x14ac:dyDescent="0.2">
      <c r="A951" t="s">
        <v>1009</v>
      </c>
      <c r="B951" s="1">
        <f>45930</f>
        <v>45930</v>
      </c>
      <c r="C951" t="s">
        <v>0</v>
      </c>
      <c r="D951">
        <v>108108</v>
      </c>
      <c r="E951" s="2">
        <v>25004909</v>
      </c>
      <c r="F951" s="2">
        <v>1</v>
      </c>
      <c r="G951" t="s">
        <v>1330</v>
      </c>
      <c r="H951" t="s">
        <v>1013</v>
      </c>
      <c r="I951" t="s">
        <v>2012</v>
      </c>
      <c r="J951" t="s">
        <v>1323</v>
      </c>
      <c r="K951" s="3">
        <v>1</v>
      </c>
      <c r="L951" s="4">
        <v>21.9</v>
      </c>
      <c r="O951" t="s">
        <v>2</v>
      </c>
      <c r="P951" t="s">
        <v>983</v>
      </c>
      <c r="Q951" s="2">
        <v>0</v>
      </c>
      <c r="R951" s="5">
        <v>21.9</v>
      </c>
      <c r="S951" s="5">
        <v>0</v>
      </c>
      <c r="T951" s="2">
        <v>22</v>
      </c>
      <c r="U951" t="s">
        <v>3</v>
      </c>
      <c r="V951" t="s">
        <v>347</v>
      </c>
      <c r="W951" s="5">
        <v>18.399999999999999</v>
      </c>
    </row>
    <row r="952" spans="1:23" ht="15" x14ac:dyDescent="0.2">
      <c r="A952" t="s">
        <v>1009</v>
      </c>
      <c r="B952" s="1">
        <f>45930</f>
        <v>45930</v>
      </c>
      <c r="C952" t="s">
        <v>0</v>
      </c>
      <c r="D952">
        <v>108108</v>
      </c>
      <c r="E952" s="2">
        <v>25004910</v>
      </c>
      <c r="F952" s="2">
        <v>1</v>
      </c>
      <c r="G952" t="s">
        <v>1644</v>
      </c>
      <c r="H952" t="s">
        <v>1320</v>
      </c>
      <c r="I952" t="s">
        <v>2010</v>
      </c>
      <c r="J952" t="s">
        <v>1323</v>
      </c>
      <c r="K952" s="3">
        <v>1</v>
      </c>
      <c r="L952" s="4">
        <v>18.899999999999999</v>
      </c>
      <c r="O952" t="s">
        <v>2</v>
      </c>
      <c r="P952" t="s">
        <v>984</v>
      </c>
      <c r="Q952" s="2">
        <v>0</v>
      </c>
      <c r="R952" s="5">
        <v>18.899999999999999</v>
      </c>
      <c r="S952" s="5">
        <v>0</v>
      </c>
      <c r="T952" s="2">
        <v>19</v>
      </c>
      <c r="U952" t="s">
        <v>3</v>
      </c>
      <c r="V952" t="s">
        <v>345</v>
      </c>
      <c r="W952" s="5">
        <v>48.56</v>
      </c>
    </row>
    <row r="953" spans="1:23" ht="15" x14ac:dyDescent="0.2">
      <c r="A953" t="s">
        <v>1009</v>
      </c>
      <c r="B953" s="1">
        <f>45930</f>
        <v>45930</v>
      </c>
      <c r="C953" t="s">
        <v>0</v>
      </c>
      <c r="D953">
        <v>108108</v>
      </c>
      <c r="E953" s="2">
        <v>25004910</v>
      </c>
      <c r="F953" s="2">
        <v>2</v>
      </c>
      <c r="G953" t="s">
        <v>1644</v>
      </c>
      <c r="H953" t="s">
        <v>1320</v>
      </c>
      <c r="I953" t="s">
        <v>2010</v>
      </c>
      <c r="J953" t="s">
        <v>1323</v>
      </c>
      <c r="K953" s="3">
        <v>1</v>
      </c>
      <c r="L953" s="4">
        <v>18.899999999999999</v>
      </c>
      <c r="O953" t="s">
        <v>2</v>
      </c>
      <c r="P953" t="s">
        <v>984</v>
      </c>
      <c r="Q953" s="2">
        <v>0</v>
      </c>
      <c r="R953" s="5">
        <v>18.899999999999999</v>
      </c>
      <c r="S953" s="5">
        <v>0</v>
      </c>
      <c r="T953" s="2">
        <v>19</v>
      </c>
      <c r="U953" t="s">
        <v>3</v>
      </c>
      <c r="V953" t="s">
        <v>345</v>
      </c>
      <c r="W953" s="5">
        <v>48.56</v>
      </c>
    </row>
    <row r="954" spans="1:23" ht="15" x14ac:dyDescent="0.2">
      <c r="A954" t="s">
        <v>1009</v>
      </c>
      <c r="B954" s="1">
        <f>45930</f>
        <v>45930</v>
      </c>
      <c r="C954" t="s">
        <v>0</v>
      </c>
      <c r="D954">
        <v>108108</v>
      </c>
      <c r="E954" s="2">
        <v>25004910</v>
      </c>
      <c r="F954" s="2">
        <v>3</v>
      </c>
      <c r="G954" t="s">
        <v>1332</v>
      </c>
      <c r="H954" t="s">
        <v>362</v>
      </c>
      <c r="I954" t="s">
        <v>2010</v>
      </c>
      <c r="J954" t="s">
        <v>1323</v>
      </c>
      <c r="K954" s="3">
        <v>1</v>
      </c>
      <c r="L954" s="4">
        <v>5</v>
      </c>
      <c r="O954" t="s">
        <v>2</v>
      </c>
      <c r="P954" t="s">
        <v>984</v>
      </c>
      <c r="Q954" s="2">
        <v>0</v>
      </c>
      <c r="R954" s="5">
        <v>5</v>
      </c>
      <c r="S954" s="5">
        <v>0</v>
      </c>
      <c r="T954" s="2">
        <v>5</v>
      </c>
      <c r="U954" t="s">
        <v>3</v>
      </c>
      <c r="V954" t="s">
        <v>345</v>
      </c>
      <c r="W954" s="5">
        <v>48.56</v>
      </c>
    </row>
    <row r="955" spans="1:23" ht="15" x14ac:dyDescent="0.2">
      <c r="A955" t="s">
        <v>1009</v>
      </c>
      <c r="B955" s="1">
        <f>45930</f>
        <v>45930</v>
      </c>
      <c r="C955" t="s">
        <v>0</v>
      </c>
      <c r="D955">
        <v>108108</v>
      </c>
      <c r="E955" s="2">
        <v>25004910</v>
      </c>
      <c r="F955" s="2">
        <v>4</v>
      </c>
      <c r="G955" t="s">
        <v>1332</v>
      </c>
      <c r="H955" t="s">
        <v>362</v>
      </c>
      <c r="I955" t="s">
        <v>2010</v>
      </c>
      <c r="J955" t="s">
        <v>1323</v>
      </c>
      <c r="K955" s="3">
        <v>1</v>
      </c>
      <c r="L955" s="4">
        <v>5</v>
      </c>
      <c r="O955" t="s">
        <v>2</v>
      </c>
      <c r="P955" t="s">
        <v>984</v>
      </c>
      <c r="Q955" s="2">
        <v>0</v>
      </c>
      <c r="R955" s="5">
        <v>5</v>
      </c>
      <c r="S955" s="5">
        <v>0</v>
      </c>
      <c r="T955" s="2">
        <v>5</v>
      </c>
      <c r="U955" t="s">
        <v>3</v>
      </c>
      <c r="V955" t="s">
        <v>345</v>
      </c>
      <c r="W955" s="5">
        <v>48.56</v>
      </c>
    </row>
    <row r="956" spans="1:23" ht="15" x14ac:dyDescent="0.2">
      <c r="A956" t="s">
        <v>1009</v>
      </c>
      <c r="B956" s="1">
        <f>45930</f>
        <v>45930</v>
      </c>
      <c r="C956" t="s">
        <v>0</v>
      </c>
      <c r="D956">
        <v>108108</v>
      </c>
      <c r="E956" s="2">
        <v>25004910</v>
      </c>
      <c r="F956" s="2">
        <v>5</v>
      </c>
      <c r="G956" t="s">
        <v>1332</v>
      </c>
      <c r="H956" t="s">
        <v>362</v>
      </c>
      <c r="I956" t="s">
        <v>2010</v>
      </c>
      <c r="J956" t="s">
        <v>1323</v>
      </c>
      <c r="K956" s="3">
        <v>1</v>
      </c>
      <c r="L956" s="4">
        <v>5</v>
      </c>
      <c r="O956" t="s">
        <v>2</v>
      </c>
      <c r="P956" t="s">
        <v>984</v>
      </c>
      <c r="Q956" s="2">
        <v>0</v>
      </c>
      <c r="R956" s="5">
        <v>5</v>
      </c>
      <c r="S956" s="5">
        <v>0</v>
      </c>
      <c r="T956" s="2">
        <v>5</v>
      </c>
      <c r="U956" t="s">
        <v>3</v>
      </c>
      <c r="V956" t="s">
        <v>345</v>
      </c>
      <c r="W956" s="5">
        <v>48.56</v>
      </c>
    </row>
    <row r="957" spans="1:23" ht="15" x14ac:dyDescent="0.2">
      <c r="A957" t="s">
        <v>1009</v>
      </c>
      <c r="B957" s="1">
        <f>45930</f>
        <v>45930</v>
      </c>
      <c r="C957" t="s">
        <v>0</v>
      </c>
      <c r="D957">
        <v>108108</v>
      </c>
      <c r="E957" s="2">
        <v>25004910</v>
      </c>
      <c r="F957" s="2">
        <v>6</v>
      </c>
      <c r="G957" t="s">
        <v>1332</v>
      </c>
      <c r="H957" t="s">
        <v>362</v>
      </c>
      <c r="I957" t="s">
        <v>2010</v>
      </c>
      <c r="J957" t="s">
        <v>1323</v>
      </c>
      <c r="K957" s="3">
        <v>1</v>
      </c>
      <c r="L957" s="4">
        <v>5</v>
      </c>
      <c r="O957" t="s">
        <v>2</v>
      </c>
      <c r="P957" t="s">
        <v>984</v>
      </c>
      <c r="Q957" s="2">
        <v>0</v>
      </c>
      <c r="R957" s="5">
        <v>5</v>
      </c>
      <c r="S957" s="5">
        <v>0</v>
      </c>
      <c r="T957" s="2">
        <v>5</v>
      </c>
      <c r="U957" t="s">
        <v>3</v>
      </c>
      <c r="V957" t="s">
        <v>345</v>
      </c>
      <c r="W957" s="5">
        <v>48.56</v>
      </c>
    </row>
    <row r="958" spans="1:23" ht="15" x14ac:dyDescent="0.2">
      <c r="A958" t="s">
        <v>1009</v>
      </c>
      <c r="B958" s="1">
        <f>45930</f>
        <v>45930</v>
      </c>
      <c r="C958" t="s">
        <v>0</v>
      </c>
      <c r="D958">
        <v>108108</v>
      </c>
      <c r="E958" s="2">
        <v>25004911</v>
      </c>
      <c r="F958" s="2">
        <v>1</v>
      </c>
      <c r="G958" t="s">
        <v>1644</v>
      </c>
      <c r="H958" t="s">
        <v>1320</v>
      </c>
      <c r="I958" t="s">
        <v>2010</v>
      </c>
      <c r="J958" t="s">
        <v>1323</v>
      </c>
      <c r="K958" s="3">
        <v>1</v>
      </c>
      <c r="L958" s="4">
        <v>18.899999999999999</v>
      </c>
      <c r="O958" t="s">
        <v>2</v>
      </c>
      <c r="P958" t="s">
        <v>985</v>
      </c>
      <c r="Q958" s="2">
        <v>0</v>
      </c>
      <c r="R958" s="5">
        <v>18.899999999999999</v>
      </c>
      <c r="S958" s="5">
        <v>0</v>
      </c>
      <c r="T958" s="2">
        <v>19</v>
      </c>
      <c r="U958" t="s">
        <v>3</v>
      </c>
      <c r="V958" t="s">
        <v>345</v>
      </c>
      <c r="W958" s="5">
        <v>20.079999999999998</v>
      </c>
    </row>
    <row r="959" spans="1:23" ht="15" x14ac:dyDescent="0.2">
      <c r="A959" t="s">
        <v>1009</v>
      </c>
      <c r="B959" s="1">
        <f>45930</f>
        <v>45930</v>
      </c>
      <c r="C959" t="s">
        <v>0</v>
      </c>
      <c r="D959">
        <v>108108</v>
      </c>
      <c r="E959" s="2">
        <v>25004911</v>
      </c>
      <c r="F959" s="2">
        <v>2</v>
      </c>
      <c r="G959" t="s">
        <v>1332</v>
      </c>
      <c r="H959" t="s">
        <v>362</v>
      </c>
      <c r="I959" t="s">
        <v>2010</v>
      </c>
      <c r="J959" t="s">
        <v>1323</v>
      </c>
      <c r="K959" s="3">
        <v>1</v>
      </c>
      <c r="L959" s="4">
        <v>5</v>
      </c>
      <c r="O959" t="s">
        <v>2</v>
      </c>
      <c r="P959" t="s">
        <v>985</v>
      </c>
      <c r="Q959" s="2">
        <v>0</v>
      </c>
      <c r="R959" s="5">
        <v>5</v>
      </c>
      <c r="S959" s="5">
        <v>0</v>
      </c>
      <c r="T959" s="2">
        <v>5</v>
      </c>
      <c r="U959" t="s">
        <v>3</v>
      </c>
      <c r="V959" t="s">
        <v>345</v>
      </c>
      <c r="W959" s="5">
        <v>20.079999999999998</v>
      </c>
    </row>
    <row r="960" spans="1:23" ht="15" x14ac:dyDescent="0.2">
      <c r="A960" t="s">
        <v>1009</v>
      </c>
      <c r="B960" s="1">
        <f>45930</f>
        <v>45930</v>
      </c>
      <c r="C960" t="s">
        <v>0</v>
      </c>
      <c r="D960">
        <v>108108</v>
      </c>
      <c r="E960" s="2">
        <v>25004912</v>
      </c>
      <c r="F960" s="2">
        <v>1</v>
      </c>
      <c r="G960" t="s">
        <v>1415</v>
      </c>
      <c r="H960" t="s">
        <v>1097</v>
      </c>
      <c r="I960" t="s">
        <v>1828</v>
      </c>
      <c r="J960" t="s">
        <v>1323</v>
      </c>
      <c r="K960" s="3">
        <v>1</v>
      </c>
      <c r="L960" s="4">
        <v>22.9</v>
      </c>
      <c r="O960" t="s">
        <v>2</v>
      </c>
      <c r="P960" t="s">
        <v>986</v>
      </c>
      <c r="Q960" s="2">
        <v>0</v>
      </c>
      <c r="R960" s="5">
        <v>22.9</v>
      </c>
      <c r="S960" s="5">
        <v>0</v>
      </c>
      <c r="T960" s="2">
        <v>23</v>
      </c>
      <c r="U960" t="s">
        <v>3</v>
      </c>
      <c r="V960" t="s">
        <v>180</v>
      </c>
      <c r="W960" s="5">
        <v>19.239999999999998</v>
      </c>
    </row>
    <row r="961" spans="1:23" ht="15" x14ac:dyDescent="0.2">
      <c r="A961" t="s">
        <v>1009</v>
      </c>
      <c r="B961" s="1">
        <f>45930</f>
        <v>45930</v>
      </c>
      <c r="C961" t="s">
        <v>0</v>
      </c>
      <c r="D961">
        <v>108108</v>
      </c>
      <c r="E961" s="2">
        <v>25004913</v>
      </c>
      <c r="F961" s="2">
        <v>1</v>
      </c>
      <c r="G961" t="s">
        <v>1334</v>
      </c>
      <c r="H961" t="s">
        <v>1016</v>
      </c>
      <c r="I961" t="s">
        <v>1647</v>
      </c>
      <c r="J961" t="s">
        <v>1323</v>
      </c>
      <c r="K961" s="3">
        <v>1</v>
      </c>
      <c r="L961" s="4">
        <v>21.9</v>
      </c>
      <c r="O961" t="s">
        <v>2</v>
      </c>
      <c r="P961" t="s">
        <v>987</v>
      </c>
      <c r="Q961" s="2">
        <v>0</v>
      </c>
      <c r="R961" s="5">
        <v>21.9</v>
      </c>
      <c r="S961" s="5">
        <v>0</v>
      </c>
      <c r="T961" s="2">
        <v>22</v>
      </c>
      <c r="U961" t="s">
        <v>3</v>
      </c>
      <c r="V961" t="s">
        <v>1322</v>
      </c>
      <c r="W961" s="5">
        <v>18.399999999999999</v>
      </c>
    </row>
    <row r="962" spans="1:23" ht="15" x14ac:dyDescent="0.2">
      <c r="A962" t="s">
        <v>1009</v>
      </c>
      <c r="B962" s="1">
        <f>45930</f>
        <v>45930</v>
      </c>
      <c r="C962" t="s">
        <v>0</v>
      </c>
      <c r="D962">
        <v>108108</v>
      </c>
      <c r="E962" s="2">
        <v>25004914</v>
      </c>
      <c r="F962" s="2">
        <v>1</v>
      </c>
      <c r="G962" t="s">
        <v>1626</v>
      </c>
      <c r="H962" t="s">
        <v>1303</v>
      </c>
      <c r="I962" t="s">
        <v>1911</v>
      </c>
      <c r="J962" t="s">
        <v>1323</v>
      </c>
      <c r="K962" s="3">
        <v>1</v>
      </c>
      <c r="L962" s="4">
        <v>16.899999999999999</v>
      </c>
      <c r="O962" t="s">
        <v>2</v>
      </c>
      <c r="P962" t="s">
        <v>988</v>
      </c>
      <c r="Q962" s="2">
        <v>0</v>
      </c>
      <c r="R962" s="5">
        <v>16.899999999999999</v>
      </c>
      <c r="S962" s="5">
        <v>0</v>
      </c>
      <c r="T962" s="2">
        <v>17</v>
      </c>
      <c r="U962" t="s">
        <v>3</v>
      </c>
      <c r="V962" t="s">
        <v>256</v>
      </c>
      <c r="W962" s="5">
        <v>32.6</v>
      </c>
    </row>
    <row r="963" spans="1:23" ht="15" x14ac:dyDescent="0.2">
      <c r="A963" t="s">
        <v>1009</v>
      </c>
      <c r="B963" s="1">
        <f>45930</f>
        <v>45930</v>
      </c>
      <c r="C963" t="s">
        <v>0</v>
      </c>
      <c r="D963">
        <v>108108</v>
      </c>
      <c r="E963" s="2">
        <v>25004914</v>
      </c>
      <c r="F963" s="2">
        <v>2</v>
      </c>
      <c r="G963" t="s">
        <v>1334</v>
      </c>
      <c r="H963" t="s">
        <v>1016</v>
      </c>
      <c r="I963" t="s">
        <v>1911</v>
      </c>
      <c r="J963" t="s">
        <v>1323</v>
      </c>
      <c r="K963" s="3">
        <v>1</v>
      </c>
      <c r="L963" s="4">
        <v>21.9</v>
      </c>
      <c r="O963" t="s">
        <v>2</v>
      </c>
      <c r="P963" t="s">
        <v>988</v>
      </c>
      <c r="Q963" s="2">
        <v>0</v>
      </c>
      <c r="R963" s="5">
        <v>21.9</v>
      </c>
      <c r="S963" s="5">
        <v>0</v>
      </c>
      <c r="T963" s="2">
        <v>22</v>
      </c>
      <c r="U963" t="s">
        <v>3</v>
      </c>
      <c r="V963" t="s">
        <v>256</v>
      </c>
      <c r="W963" s="5">
        <v>32.6</v>
      </c>
    </row>
    <row r="964" spans="1:23" ht="15" x14ac:dyDescent="0.2">
      <c r="A964" t="s">
        <v>1009</v>
      </c>
      <c r="B964" s="1">
        <f>45930</f>
        <v>45930</v>
      </c>
      <c r="C964" t="s">
        <v>0</v>
      </c>
      <c r="D964">
        <v>108108</v>
      </c>
      <c r="E964" s="2">
        <v>25004915</v>
      </c>
      <c r="F964" s="2">
        <v>1</v>
      </c>
      <c r="G964" t="s">
        <v>1421</v>
      </c>
      <c r="H964" t="s">
        <v>1103</v>
      </c>
      <c r="I964" t="s">
        <v>2013</v>
      </c>
      <c r="J964" t="s">
        <v>1323</v>
      </c>
      <c r="K964" s="3">
        <v>1</v>
      </c>
      <c r="L964" s="4">
        <v>21.9</v>
      </c>
      <c r="O964" t="s">
        <v>2</v>
      </c>
      <c r="P964" t="s">
        <v>989</v>
      </c>
      <c r="Q964" s="2">
        <v>0</v>
      </c>
      <c r="R964" s="5">
        <v>21.9</v>
      </c>
      <c r="S964" s="5">
        <v>0</v>
      </c>
      <c r="T964" s="2">
        <v>22</v>
      </c>
      <c r="U964" t="s">
        <v>3</v>
      </c>
      <c r="V964" t="s">
        <v>348</v>
      </c>
      <c r="W964" s="5">
        <v>18.399999999999999</v>
      </c>
    </row>
    <row r="965" spans="1:23" ht="15" x14ac:dyDescent="0.2">
      <c r="A965" t="s">
        <v>1009</v>
      </c>
      <c r="B965" s="1">
        <f>45930</f>
        <v>45930</v>
      </c>
      <c r="C965" t="s">
        <v>0</v>
      </c>
      <c r="D965">
        <v>108108</v>
      </c>
      <c r="E965" s="2">
        <v>25004916</v>
      </c>
      <c r="F965" s="2">
        <v>1</v>
      </c>
      <c r="G965" t="s">
        <v>1561</v>
      </c>
      <c r="H965" t="s">
        <v>1240</v>
      </c>
      <c r="I965" t="s">
        <v>1856</v>
      </c>
      <c r="J965" t="s">
        <v>1325</v>
      </c>
      <c r="K965" s="3">
        <v>1</v>
      </c>
      <c r="L965" s="4">
        <v>28.9</v>
      </c>
      <c r="O965" t="s">
        <v>2</v>
      </c>
      <c r="P965" t="s">
        <v>990</v>
      </c>
      <c r="Q965" s="2">
        <v>0</v>
      </c>
      <c r="R965" s="5">
        <v>28.9</v>
      </c>
      <c r="S965" s="5">
        <v>0</v>
      </c>
      <c r="T965" s="2">
        <v>29</v>
      </c>
      <c r="U965" t="s">
        <v>3</v>
      </c>
      <c r="V965" t="s">
        <v>206</v>
      </c>
      <c r="W965" s="5">
        <v>28.49</v>
      </c>
    </row>
    <row r="966" spans="1:23" ht="15" x14ac:dyDescent="0.2">
      <c r="A966" t="s">
        <v>1009</v>
      </c>
      <c r="B966" s="1">
        <f>45930</f>
        <v>45930</v>
      </c>
      <c r="C966" t="s">
        <v>0</v>
      </c>
      <c r="D966">
        <v>108108</v>
      </c>
      <c r="E966" s="2">
        <v>25004916</v>
      </c>
      <c r="F966" s="2">
        <v>2</v>
      </c>
      <c r="G966" t="s">
        <v>1332</v>
      </c>
      <c r="H966" t="s">
        <v>362</v>
      </c>
      <c r="I966" t="s">
        <v>1856</v>
      </c>
      <c r="J966" t="s">
        <v>1325</v>
      </c>
      <c r="K966" s="3">
        <v>1</v>
      </c>
      <c r="L966" s="4">
        <v>5</v>
      </c>
      <c r="O966" t="s">
        <v>2</v>
      </c>
      <c r="P966" t="s">
        <v>990</v>
      </c>
      <c r="Q966" s="2">
        <v>0</v>
      </c>
      <c r="R966" s="5">
        <v>5</v>
      </c>
      <c r="S966" s="5">
        <v>0</v>
      </c>
      <c r="T966" s="2">
        <v>5</v>
      </c>
      <c r="U966" t="s">
        <v>3</v>
      </c>
      <c r="V966" t="s">
        <v>206</v>
      </c>
      <c r="W966" s="5">
        <v>28.49</v>
      </c>
    </row>
    <row r="967" spans="1:23" ht="15" x14ac:dyDescent="0.2">
      <c r="A967" t="s">
        <v>1009</v>
      </c>
      <c r="B967" s="1">
        <f>45930</f>
        <v>45930</v>
      </c>
      <c r="C967" t="s">
        <v>0</v>
      </c>
      <c r="D967">
        <v>108108</v>
      </c>
      <c r="E967" s="2">
        <v>25004917</v>
      </c>
      <c r="F967" s="2">
        <v>1</v>
      </c>
      <c r="G967" t="s">
        <v>1345</v>
      </c>
      <c r="H967" t="s">
        <v>1027</v>
      </c>
      <c r="I967" t="s">
        <v>1955</v>
      </c>
      <c r="J967" t="s">
        <v>1325</v>
      </c>
      <c r="K967" s="3">
        <v>1</v>
      </c>
      <c r="L967" s="4">
        <v>27</v>
      </c>
      <c r="O967" t="s">
        <v>2</v>
      </c>
      <c r="P967" t="s">
        <v>991</v>
      </c>
      <c r="Q967" s="2">
        <v>0</v>
      </c>
      <c r="R967" s="5">
        <v>27</v>
      </c>
      <c r="S967" s="5">
        <v>0</v>
      </c>
      <c r="T967" s="2">
        <v>27</v>
      </c>
      <c r="U967" t="s">
        <v>3</v>
      </c>
      <c r="V967" t="s">
        <v>298</v>
      </c>
      <c r="W967" s="5">
        <v>48.74</v>
      </c>
    </row>
    <row r="968" spans="1:23" ht="15" x14ac:dyDescent="0.2">
      <c r="A968" t="s">
        <v>1009</v>
      </c>
      <c r="B968" s="1">
        <f>45930</f>
        <v>45930</v>
      </c>
      <c r="C968" t="s">
        <v>0</v>
      </c>
      <c r="D968">
        <v>108108</v>
      </c>
      <c r="E968" s="2">
        <v>25004917</v>
      </c>
      <c r="F968" s="2">
        <v>2</v>
      </c>
      <c r="G968" t="s">
        <v>1547</v>
      </c>
      <c r="H968" t="s">
        <v>1226</v>
      </c>
      <c r="I968" t="s">
        <v>1955</v>
      </c>
      <c r="J968" t="s">
        <v>1325</v>
      </c>
      <c r="K968" s="3">
        <v>1</v>
      </c>
      <c r="L968" s="4">
        <v>31</v>
      </c>
      <c r="O968" t="s">
        <v>2</v>
      </c>
      <c r="P968" t="s">
        <v>991</v>
      </c>
      <c r="Q968" s="2">
        <v>0</v>
      </c>
      <c r="R968" s="5">
        <v>31</v>
      </c>
      <c r="S968" s="5">
        <v>0</v>
      </c>
      <c r="T968" s="2">
        <v>31</v>
      </c>
      <c r="U968" t="s">
        <v>3</v>
      </c>
      <c r="V968" t="s">
        <v>298</v>
      </c>
      <c r="W968" s="5">
        <v>48.74</v>
      </c>
    </row>
    <row r="969" spans="1:23" ht="15" x14ac:dyDescent="0.2">
      <c r="A969" t="s">
        <v>1009</v>
      </c>
      <c r="B969" s="1">
        <f>45930</f>
        <v>45930</v>
      </c>
      <c r="C969" t="s">
        <v>0</v>
      </c>
      <c r="D969">
        <v>108108</v>
      </c>
      <c r="E969" s="2">
        <v>25004918</v>
      </c>
      <c r="F969" s="2">
        <v>1</v>
      </c>
      <c r="G969" t="s">
        <v>1339</v>
      </c>
      <c r="H969" t="s">
        <v>1021</v>
      </c>
      <c r="I969" t="s">
        <v>2014</v>
      </c>
      <c r="J969" t="s">
        <v>1325</v>
      </c>
      <c r="K969" s="3">
        <v>1</v>
      </c>
      <c r="L969" s="4">
        <v>24</v>
      </c>
      <c r="O969" t="s">
        <v>2</v>
      </c>
      <c r="P969" t="s">
        <v>992</v>
      </c>
      <c r="Q969" s="2">
        <v>0</v>
      </c>
      <c r="R969" s="5">
        <v>24</v>
      </c>
      <c r="S969" s="5">
        <v>0</v>
      </c>
      <c r="T969" s="2">
        <v>24</v>
      </c>
      <c r="U969" t="s">
        <v>3</v>
      </c>
      <c r="V969" t="s">
        <v>349</v>
      </c>
      <c r="W969" s="5">
        <v>20.170000000000002</v>
      </c>
    </row>
    <row r="970" spans="1:23" ht="15" x14ac:dyDescent="0.2">
      <c r="A970" t="s">
        <v>1009</v>
      </c>
      <c r="B970" s="1">
        <f>45930</f>
        <v>45930</v>
      </c>
      <c r="C970" t="s">
        <v>0</v>
      </c>
      <c r="D970">
        <v>108108</v>
      </c>
      <c r="E970" s="2">
        <v>25004919</v>
      </c>
      <c r="F970" s="2">
        <v>1</v>
      </c>
      <c r="G970" t="s">
        <v>1339</v>
      </c>
      <c r="H970" t="s">
        <v>1021</v>
      </c>
      <c r="I970" t="s">
        <v>2015</v>
      </c>
      <c r="J970" t="s">
        <v>1325</v>
      </c>
      <c r="K970" s="3">
        <v>1</v>
      </c>
      <c r="L970" s="4">
        <v>24</v>
      </c>
      <c r="O970" t="s">
        <v>2</v>
      </c>
      <c r="P970" t="s">
        <v>993</v>
      </c>
      <c r="Q970" s="2">
        <v>0</v>
      </c>
      <c r="R970" s="5">
        <v>24</v>
      </c>
      <c r="S970" s="5">
        <v>0</v>
      </c>
      <c r="T970" s="2">
        <v>24</v>
      </c>
      <c r="U970" t="s">
        <v>3</v>
      </c>
      <c r="V970" t="s">
        <v>350</v>
      </c>
      <c r="W970" s="5">
        <v>20.170000000000002</v>
      </c>
    </row>
    <row r="971" spans="1:23" ht="15" x14ac:dyDescent="0.2">
      <c r="A971" t="s">
        <v>1009</v>
      </c>
      <c r="B971" s="1">
        <f>45930</f>
        <v>45930</v>
      </c>
      <c r="C971" t="s">
        <v>0</v>
      </c>
      <c r="D971">
        <v>108108</v>
      </c>
      <c r="E971" s="2">
        <v>25004920</v>
      </c>
      <c r="F971" s="2">
        <v>1</v>
      </c>
      <c r="G971" t="s">
        <v>1345</v>
      </c>
      <c r="H971" t="s">
        <v>1027</v>
      </c>
      <c r="I971" t="s">
        <v>2016</v>
      </c>
      <c r="J971" t="s">
        <v>1325</v>
      </c>
      <c r="K971" s="3">
        <v>1</v>
      </c>
      <c r="L971" s="4">
        <v>27</v>
      </c>
      <c r="O971" t="s">
        <v>2</v>
      </c>
      <c r="P971" t="s">
        <v>994</v>
      </c>
      <c r="Q971" s="2">
        <v>0</v>
      </c>
      <c r="R971" s="5">
        <v>27</v>
      </c>
      <c r="S971" s="5">
        <v>0</v>
      </c>
      <c r="T971" s="2">
        <v>27</v>
      </c>
      <c r="U971" t="s">
        <v>3</v>
      </c>
      <c r="V971" t="s">
        <v>351</v>
      </c>
      <c r="W971" s="5">
        <v>22.69</v>
      </c>
    </row>
    <row r="972" spans="1:23" ht="15" x14ac:dyDescent="0.2">
      <c r="A972" t="s">
        <v>1009</v>
      </c>
      <c r="B972" s="1">
        <f>45930</f>
        <v>45930</v>
      </c>
      <c r="C972" t="s">
        <v>0</v>
      </c>
      <c r="D972">
        <v>108108</v>
      </c>
      <c r="E972" s="2">
        <v>25004921</v>
      </c>
      <c r="F972" s="2">
        <v>1</v>
      </c>
      <c r="G972" t="s">
        <v>1501</v>
      </c>
      <c r="H972" t="s">
        <v>1182</v>
      </c>
      <c r="I972" t="s">
        <v>2017</v>
      </c>
      <c r="J972" t="s">
        <v>1325</v>
      </c>
      <c r="K972" s="3">
        <v>1</v>
      </c>
      <c r="L972" s="4">
        <v>26.9</v>
      </c>
      <c r="O972" t="s">
        <v>2</v>
      </c>
      <c r="P972" t="s">
        <v>995</v>
      </c>
      <c r="Q972" s="2">
        <v>0</v>
      </c>
      <c r="R972" s="5">
        <v>26.9</v>
      </c>
      <c r="S972" s="5">
        <v>0</v>
      </c>
      <c r="T972" s="2">
        <v>27</v>
      </c>
      <c r="U972" t="s">
        <v>3</v>
      </c>
      <c r="V972" t="s">
        <v>352</v>
      </c>
      <c r="W972" s="5">
        <v>22.61</v>
      </c>
    </row>
    <row r="973" spans="1:23" ht="15" x14ac:dyDescent="0.2">
      <c r="A973" t="s">
        <v>1009</v>
      </c>
      <c r="B973" s="1">
        <f>45930</f>
        <v>45930</v>
      </c>
      <c r="C973" t="s">
        <v>0</v>
      </c>
      <c r="D973">
        <v>108108</v>
      </c>
      <c r="E973" s="2">
        <v>25004922</v>
      </c>
      <c r="F973" s="2">
        <v>1</v>
      </c>
      <c r="G973" t="s">
        <v>1621</v>
      </c>
      <c r="H973" t="s">
        <v>1298</v>
      </c>
      <c r="I973" t="s">
        <v>2018</v>
      </c>
      <c r="J973" t="s">
        <v>1325</v>
      </c>
      <c r="K973" s="3">
        <v>1</v>
      </c>
      <c r="L973" s="4">
        <v>22.9</v>
      </c>
      <c r="O973" t="s">
        <v>2</v>
      </c>
      <c r="P973" t="s">
        <v>996</v>
      </c>
      <c r="Q973" s="2">
        <v>0</v>
      </c>
      <c r="R973" s="5">
        <v>22.9</v>
      </c>
      <c r="S973" s="5">
        <v>0</v>
      </c>
      <c r="T973" s="2">
        <v>23</v>
      </c>
      <c r="U973" t="s">
        <v>3</v>
      </c>
      <c r="V973" t="s">
        <v>353</v>
      </c>
      <c r="W973" s="5">
        <v>19.239999999999998</v>
      </c>
    </row>
    <row r="974" spans="1:23" ht="15" x14ac:dyDescent="0.2">
      <c r="A974" t="s">
        <v>1009</v>
      </c>
      <c r="B974" s="1">
        <f>45930</f>
        <v>45930</v>
      </c>
      <c r="C974" t="s">
        <v>0</v>
      </c>
      <c r="D974">
        <v>108108</v>
      </c>
      <c r="E974" s="2">
        <v>25004923</v>
      </c>
      <c r="F974" s="2">
        <v>1</v>
      </c>
      <c r="G974" t="s">
        <v>1503</v>
      </c>
      <c r="H974" t="s">
        <v>1184</v>
      </c>
      <c r="I974" t="s">
        <v>2019</v>
      </c>
      <c r="J974" t="s">
        <v>1325</v>
      </c>
      <c r="K974" s="3">
        <v>1</v>
      </c>
      <c r="L974" s="4">
        <v>27.9</v>
      </c>
      <c r="O974" t="s">
        <v>2</v>
      </c>
      <c r="P974" t="s">
        <v>997</v>
      </c>
      <c r="Q974" s="2">
        <v>0</v>
      </c>
      <c r="R974" s="5">
        <v>27.9</v>
      </c>
      <c r="S974" s="5">
        <v>0</v>
      </c>
      <c r="T974" s="2">
        <v>28</v>
      </c>
      <c r="U974" t="s">
        <v>3</v>
      </c>
      <c r="V974" t="s">
        <v>49</v>
      </c>
      <c r="W974" s="5">
        <v>23.45</v>
      </c>
    </row>
    <row r="975" spans="1:23" ht="15" x14ac:dyDescent="0.2">
      <c r="A975" t="s">
        <v>1009</v>
      </c>
      <c r="B975" s="1">
        <f>45930</f>
        <v>45930</v>
      </c>
      <c r="C975" t="s">
        <v>0</v>
      </c>
      <c r="D975">
        <v>108108</v>
      </c>
      <c r="E975" s="2">
        <v>25004924</v>
      </c>
      <c r="F975" s="2">
        <v>1</v>
      </c>
      <c r="G975" t="s">
        <v>1429</v>
      </c>
      <c r="H975" t="s">
        <v>1111</v>
      </c>
      <c r="I975" t="s">
        <v>2020</v>
      </c>
      <c r="J975" t="s">
        <v>1325</v>
      </c>
      <c r="K975" s="3">
        <v>1</v>
      </c>
      <c r="L975" s="4">
        <v>21.9</v>
      </c>
      <c r="O975" t="s">
        <v>2</v>
      </c>
      <c r="P975" t="s">
        <v>998</v>
      </c>
      <c r="Q975" s="2">
        <v>0</v>
      </c>
      <c r="R975" s="5">
        <v>21.9</v>
      </c>
      <c r="S975" s="5">
        <v>0</v>
      </c>
      <c r="T975" s="2">
        <v>22</v>
      </c>
      <c r="U975" t="s">
        <v>3</v>
      </c>
      <c r="V975" t="s">
        <v>354</v>
      </c>
      <c r="W975" s="5">
        <v>18.399999999999999</v>
      </c>
    </row>
    <row r="976" spans="1:23" ht="15" x14ac:dyDescent="0.2">
      <c r="A976" t="s">
        <v>1009</v>
      </c>
      <c r="B976" s="1">
        <f>45930</f>
        <v>45930</v>
      </c>
      <c r="C976" t="s">
        <v>0</v>
      </c>
      <c r="D976">
        <v>108108</v>
      </c>
      <c r="E976" s="2">
        <v>25004925</v>
      </c>
      <c r="F976" s="2">
        <v>1</v>
      </c>
      <c r="G976" t="s">
        <v>1594</v>
      </c>
      <c r="H976" t="s">
        <v>1272</v>
      </c>
      <c r="I976" t="s">
        <v>2021</v>
      </c>
      <c r="J976" t="s">
        <v>1325</v>
      </c>
      <c r="K976" s="3">
        <v>1</v>
      </c>
      <c r="L976" s="4">
        <v>29.9</v>
      </c>
      <c r="O976" t="s">
        <v>2</v>
      </c>
      <c r="P976" t="s">
        <v>999</v>
      </c>
      <c r="Q976" s="2">
        <v>0</v>
      </c>
      <c r="R976" s="5">
        <v>29.9</v>
      </c>
      <c r="S976" s="5">
        <v>0</v>
      </c>
      <c r="T976" s="2">
        <v>30</v>
      </c>
      <c r="U976" t="s">
        <v>3</v>
      </c>
      <c r="V976" t="s">
        <v>355</v>
      </c>
      <c r="W976" s="5">
        <v>25.13</v>
      </c>
    </row>
    <row r="977" spans="1:23" ht="15" x14ac:dyDescent="0.2">
      <c r="A977" t="s">
        <v>1009</v>
      </c>
      <c r="B977" s="1">
        <f>45930</f>
        <v>45930</v>
      </c>
      <c r="C977" t="s">
        <v>0</v>
      </c>
      <c r="D977">
        <v>108108</v>
      </c>
      <c r="E977" s="2">
        <v>25004926</v>
      </c>
      <c r="F977" s="2">
        <v>1</v>
      </c>
      <c r="G977" t="s">
        <v>1488</v>
      </c>
      <c r="H977" t="s">
        <v>1169</v>
      </c>
      <c r="I977" t="s">
        <v>2022</v>
      </c>
      <c r="J977" t="s">
        <v>1325</v>
      </c>
      <c r="K977" s="3">
        <v>1</v>
      </c>
      <c r="L977" s="4">
        <v>17.899999999999999</v>
      </c>
      <c r="O977" t="s">
        <v>2</v>
      </c>
      <c r="P977" t="s">
        <v>1000</v>
      </c>
      <c r="Q977" s="2">
        <v>0</v>
      </c>
      <c r="R977" s="5">
        <v>17.899999999999999</v>
      </c>
      <c r="S977" s="5">
        <v>0</v>
      </c>
      <c r="T977" s="2">
        <v>18</v>
      </c>
      <c r="U977" t="s">
        <v>3</v>
      </c>
      <c r="V977" t="s">
        <v>356</v>
      </c>
      <c r="W977" s="5">
        <v>27.65</v>
      </c>
    </row>
    <row r="978" spans="1:23" ht="15" x14ac:dyDescent="0.2">
      <c r="A978" t="s">
        <v>1009</v>
      </c>
      <c r="B978" s="1">
        <f>45930</f>
        <v>45930</v>
      </c>
      <c r="C978" t="s">
        <v>0</v>
      </c>
      <c r="D978">
        <v>108108</v>
      </c>
      <c r="E978" s="2">
        <v>25004926</v>
      </c>
      <c r="F978" s="2">
        <v>2</v>
      </c>
      <c r="G978" t="s">
        <v>1513</v>
      </c>
      <c r="H978" t="s">
        <v>1194</v>
      </c>
      <c r="I978" t="s">
        <v>2022</v>
      </c>
      <c r="J978" t="s">
        <v>1325</v>
      </c>
      <c r="K978" s="3">
        <v>1</v>
      </c>
      <c r="L978" s="4">
        <v>15</v>
      </c>
      <c r="O978" t="s">
        <v>2</v>
      </c>
      <c r="P978" t="s">
        <v>1000</v>
      </c>
      <c r="Q978" s="2">
        <v>0</v>
      </c>
      <c r="R978" s="5">
        <v>15</v>
      </c>
      <c r="S978" s="5">
        <v>0</v>
      </c>
      <c r="T978" s="2">
        <v>15</v>
      </c>
      <c r="U978" t="s">
        <v>3</v>
      </c>
      <c r="V978" t="s">
        <v>356</v>
      </c>
      <c r="W978" s="5">
        <v>27.65</v>
      </c>
    </row>
    <row r="979" spans="1:23" ht="15" x14ac:dyDescent="0.2">
      <c r="A979" t="s">
        <v>1009</v>
      </c>
      <c r="B979" s="1">
        <f>45930</f>
        <v>45930</v>
      </c>
      <c r="C979" t="s">
        <v>0</v>
      </c>
      <c r="D979">
        <v>108108</v>
      </c>
      <c r="E979" s="2">
        <v>25004927</v>
      </c>
      <c r="F979" s="2">
        <v>1</v>
      </c>
      <c r="G979" t="s">
        <v>1644</v>
      </c>
      <c r="H979" t="s">
        <v>1320</v>
      </c>
      <c r="I979" t="s">
        <v>2023</v>
      </c>
      <c r="J979" t="s">
        <v>1323</v>
      </c>
      <c r="K979" s="3">
        <v>1</v>
      </c>
      <c r="L979" s="4">
        <v>17</v>
      </c>
      <c r="O979" t="s">
        <v>2</v>
      </c>
      <c r="P979" t="s">
        <v>1001</v>
      </c>
      <c r="Q979" s="2">
        <v>10</v>
      </c>
      <c r="R979" s="5">
        <v>18.899999999999999</v>
      </c>
      <c r="S979" s="5">
        <v>1.9</v>
      </c>
      <c r="T979" s="2">
        <v>17</v>
      </c>
      <c r="U979" t="s">
        <v>3</v>
      </c>
      <c r="V979" t="s">
        <v>357</v>
      </c>
      <c r="W979" s="5">
        <v>45.89</v>
      </c>
    </row>
    <row r="980" spans="1:23" ht="15" x14ac:dyDescent="0.2">
      <c r="A980" t="s">
        <v>1009</v>
      </c>
      <c r="B980" s="1">
        <f>45930</f>
        <v>45930</v>
      </c>
      <c r="C980" t="s">
        <v>0</v>
      </c>
      <c r="D980">
        <v>108108</v>
      </c>
      <c r="E980" s="2">
        <v>25004927</v>
      </c>
      <c r="F980" s="2">
        <v>2</v>
      </c>
      <c r="G980" t="s">
        <v>1613</v>
      </c>
      <c r="H980" t="s">
        <v>1291</v>
      </c>
      <c r="I980" t="s">
        <v>2023</v>
      </c>
      <c r="J980" t="s">
        <v>1323</v>
      </c>
      <c r="K980" s="3">
        <v>1</v>
      </c>
      <c r="L980" s="4">
        <v>17</v>
      </c>
      <c r="O980" t="s">
        <v>2</v>
      </c>
      <c r="P980" t="s">
        <v>1001</v>
      </c>
      <c r="Q980" s="2">
        <v>10</v>
      </c>
      <c r="R980" s="5">
        <v>18.899999999999999</v>
      </c>
      <c r="S980" s="5">
        <v>1.9</v>
      </c>
      <c r="T980" s="2">
        <v>17</v>
      </c>
      <c r="U980" t="s">
        <v>3</v>
      </c>
      <c r="V980" t="s">
        <v>357</v>
      </c>
      <c r="W980" s="5">
        <v>45.89</v>
      </c>
    </row>
    <row r="981" spans="1:23" ht="15" x14ac:dyDescent="0.2">
      <c r="A981" t="s">
        <v>1009</v>
      </c>
      <c r="B981" s="1">
        <f>45930</f>
        <v>45930</v>
      </c>
      <c r="C981" t="s">
        <v>0</v>
      </c>
      <c r="D981">
        <v>108108</v>
      </c>
      <c r="E981" s="2">
        <v>25004927</v>
      </c>
      <c r="F981" s="2">
        <v>3</v>
      </c>
      <c r="G981" t="s">
        <v>1346</v>
      </c>
      <c r="H981" t="s">
        <v>1028</v>
      </c>
      <c r="I981" t="s">
        <v>2023</v>
      </c>
      <c r="J981" t="s">
        <v>1323</v>
      </c>
      <c r="K981" s="3">
        <v>1</v>
      </c>
      <c r="L981" s="4">
        <v>20.6</v>
      </c>
      <c r="O981" t="s">
        <v>2</v>
      </c>
      <c r="P981" t="s">
        <v>1001</v>
      </c>
      <c r="Q981" s="2">
        <v>10</v>
      </c>
      <c r="R981" s="5">
        <v>22.9</v>
      </c>
      <c r="S981" s="5">
        <v>2.2999999999999998</v>
      </c>
      <c r="T981" s="2">
        <v>21</v>
      </c>
      <c r="U981" t="s">
        <v>3</v>
      </c>
      <c r="V981" t="s">
        <v>357</v>
      </c>
      <c r="W981" s="5">
        <v>45.89</v>
      </c>
    </row>
    <row r="982" spans="1:23" ht="15" x14ac:dyDescent="0.2">
      <c r="A982" t="s">
        <v>1009</v>
      </c>
      <c r="B982" s="1">
        <f>45930</f>
        <v>45930</v>
      </c>
      <c r="C982" t="s">
        <v>0</v>
      </c>
      <c r="D982">
        <v>108108</v>
      </c>
      <c r="E982" s="2">
        <v>25004928</v>
      </c>
      <c r="F982" s="2">
        <v>1</v>
      </c>
      <c r="G982" t="s">
        <v>1429</v>
      </c>
      <c r="H982" t="s">
        <v>1111</v>
      </c>
      <c r="I982" t="s">
        <v>1647</v>
      </c>
      <c r="J982" t="s">
        <v>1325</v>
      </c>
      <c r="K982" s="3">
        <v>1</v>
      </c>
      <c r="L982" s="4">
        <v>21.9</v>
      </c>
      <c r="O982" t="s">
        <v>2</v>
      </c>
      <c r="P982" t="s">
        <v>1002</v>
      </c>
      <c r="Q982" s="2">
        <v>0</v>
      </c>
      <c r="R982" s="5">
        <v>21.9</v>
      </c>
      <c r="S982" s="5">
        <v>0</v>
      </c>
      <c r="T982" s="2">
        <v>22</v>
      </c>
      <c r="U982" t="s">
        <v>3</v>
      </c>
      <c r="V982" t="s">
        <v>1322</v>
      </c>
      <c r="W982" s="5">
        <v>18.399999999999999</v>
      </c>
    </row>
    <row r="983" spans="1:23" ht="15" x14ac:dyDescent="0.2">
      <c r="A983" t="s">
        <v>1009</v>
      </c>
      <c r="B983" s="1">
        <f>45930</f>
        <v>45930</v>
      </c>
      <c r="C983" t="s">
        <v>0</v>
      </c>
      <c r="D983">
        <v>108108</v>
      </c>
      <c r="E983" s="2">
        <v>25004929</v>
      </c>
      <c r="F983" s="2">
        <v>1</v>
      </c>
      <c r="G983" t="s">
        <v>1351</v>
      </c>
      <c r="H983" t="s">
        <v>1033</v>
      </c>
      <c r="I983" t="s">
        <v>1647</v>
      </c>
      <c r="J983" t="s">
        <v>1325</v>
      </c>
      <c r="K983" s="3">
        <v>1</v>
      </c>
      <c r="L983" s="4">
        <v>21.9</v>
      </c>
      <c r="O983" t="s">
        <v>2</v>
      </c>
      <c r="P983" t="s">
        <v>1003</v>
      </c>
      <c r="Q983" s="2">
        <v>0</v>
      </c>
      <c r="R983" s="5">
        <v>21.9</v>
      </c>
      <c r="S983" s="5">
        <v>0</v>
      </c>
      <c r="T983" s="2">
        <v>22</v>
      </c>
      <c r="U983" t="s">
        <v>3</v>
      </c>
      <c r="V983" t="s">
        <v>1322</v>
      </c>
      <c r="W983" s="5">
        <v>18.399999999999999</v>
      </c>
    </row>
    <row r="984" spans="1:23" ht="15" x14ac:dyDescent="0.2">
      <c r="A984" t="s">
        <v>1009</v>
      </c>
      <c r="B984" s="1">
        <f>45930</f>
        <v>45930</v>
      </c>
      <c r="C984" t="s">
        <v>0</v>
      </c>
      <c r="D984">
        <v>108108</v>
      </c>
      <c r="E984" s="2">
        <v>25004930</v>
      </c>
      <c r="F984" s="2">
        <v>1</v>
      </c>
      <c r="G984" t="s">
        <v>1645</v>
      </c>
      <c r="H984" t="s">
        <v>1321</v>
      </c>
      <c r="I984" t="s">
        <v>1647</v>
      </c>
      <c r="J984" t="s">
        <v>1325</v>
      </c>
      <c r="K984" s="3">
        <v>1</v>
      </c>
      <c r="L984" s="4">
        <v>28.9</v>
      </c>
      <c r="O984" t="s">
        <v>2</v>
      </c>
      <c r="P984" t="s">
        <v>1004</v>
      </c>
      <c r="Q984" s="2">
        <v>0</v>
      </c>
      <c r="R984" s="5">
        <v>28.9</v>
      </c>
      <c r="S984" s="5">
        <v>0</v>
      </c>
      <c r="T984" s="2">
        <v>29</v>
      </c>
      <c r="U984" t="s">
        <v>3</v>
      </c>
      <c r="V984" t="s">
        <v>1322</v>
      </c>
      <c r="W984" s="5">
        <v>24.29</v>
      </c>
    </row>
    <row r="985" spans="1:23" ht="15" x14ac:dyDescent="0.2">
      <c r="A985" t="s">
        <v>1009</v>
      </c>
      <c r="B985" s="1">
        <f>45930</f>
        <v>45930</v>
      </c>
      <c r="C985" t="s">
        <v>0</v>
      </c>
      <c r="D985">
        <v>108108</v>
      </c>
      <c r="E985" s="2">
        <v>25004931</v>
      </c>
      <c r="F985" s="2">
        <v>1</v>
      </c>
      <c r="G985" t="s">
        <v>1533</v>
      </c>
      <c r="H985" t="s">
        <v>1142</v>
      </c>
      <c r="I985" t="s">
        <v>2024</v>
      </c>
      <c r="J985" t="s">
        <v>1325</v>
      </c>
      <c r="K985" s="3">
        <v>1</v>
      </c>
      <c r="L985" s="4">
        <v>23.9</v>
      </c>
      <c r="O985" t="s">
        <v>2</v>
      </c>
      <c r="P985" t="s">
        <v>1005</v>
      </c>
      <c r="Q985" s="2">
        <v>0</v>
      </c>
      <c r="R985" s="5">
        <v>23.9</v>
      </c>
      <c r="S985" s="5">
        <v>0</v>
      </c>
      <c r="T985" s="2">
        <v>24</v>
      </c>
      <c r="U985" t="s">
        <v>3</v>
      </c>
      <c r="V985" t="s">
        <v>358</v>
      </c>
      <c r="W985" s="5">
        <v>20.079999999999998</v>
      </c>
    </row>
    <row r="986" spans="1:23" ht="15" x14ac:dyDescent="0.2">
      <c r="A986" t="s">
        <v>1009</v>
      </c>
      <c r="B986" s="1">
        <f>45930</f>
        <v>45930</v>
      </c>
      <c r="C986" t="s">
        <v>0</v>
      </c>
      <c r="D986">
        <v>108108</v>
      </c>
      <c r="E986" s="2">
        <v>25004932</v>
      </c>
      <c r="F986" s="2">
        <v>1</v>
      </c>
      <c r="G986" t="s">
        <v>1501</v>
      </c>
      <c r="H986" t="s">
        <v>1182</v>
      </c>
      <c r="I986" t="s">
        <v>2025</v>
      </c>
      <c r="J986" t="s">
        <v>1325</v>
      </c>
      <c r="K986" s="3">
        <v>1</v>
      </c>
      <c r="L986" s="4">
        <v>26.9</v>
      </c>
      <c r="O986" t="s">
        <v>2</v>
      </c>
      <c r="P986" t="s">
        <v>1006</v>
      </c>
      <c r="Q986" s="2">
        <v>0</v>
      </c>
      <c r="R986" s="5">
        <v>26.9</v>
      </c>
      <c r="S986" s="5">
        <v>0</v>
      </c>
      <c r="T986" s="2">
        <v>27</v>
      </c>
      <c r="U986" t="s">
        <v>3</v>
      </c>
      <c r="V986" t="s">
        <v>359</v>
      </c>
      <c r="W986" s="5">
        <v>22.61</v>
      </c>
    </row>
    <row r="987" spans="1:23" ht="15" x14ac:dyDescent="0.2">
      <c r="A987" t="s">
        <v>1009</v>
      </c>
      <c r="B987" s="1">
        <f>45930</f>
        <v>45930</v>
      </c>
      <c r="C987" t="s">
        <v>0</v>
      </c>
      <c r="D987">
        <v>108108</v>
      </c>
      <c r="E987" s="2">
        <v>25004933</v>
      </c>
      <c r="F987" s="2">
        <v>1</v>
      </c>
      <c r="G987" t="s">
        <v>1351</v>
      </c>
      <c r="H987" t="s">
        <v>1033</v>
      </c>
      <c r="I987" t="s">
        <v>2026</v>
      </c>
      <c r="J987" t="s">
        <v>1325</v>
      </c>
      <c r="K987" s="3">
        <v>3</v>
      </c>
      <c r="L987" s="4">
        <v>65.7</v>
      </c>
      <c r="O987" t="s">
        <v>2</v>
      </c>
      <c r="P987" t="s">
        <v>1007</v>
      </c>
      <c r="Q987" s="2">
        <v>0</v>
      </c>
      <c r="R987" s="5">
        <v>21.9</v>
      </c>
      <c r="S987" s="5">
        <v>0</v>
      </c>
      <c r="T987" s="2">
        <v>22</v>
      </c>
      <c r="U987" t="s">
        <v>3</v>
      </c>
      <c r="V987" t="s">
        <v>360</v>
      </c>
      <c r="W987" s="5">
        <v>55.21</v>
      </c>
    </row>
    <row r="988" spans="1:23" ht="15" x14ac:dyDescent="0.2">
      <c r="A988" t="s">
        <v>1009</v>
      </c>
      <c r="B988" s="1">
        <f>45930</f>
        <v>45930</v>
      </c>
      <c r="C988" t="s">
        <v>0</v>
      </c>
      <c r="D988">
        <v>108108</v>
      </c>
      <c r="E988" s="2">
        <v>25004934</v>
      </c>
      <c r="F988" s="2">
        <v>1</v>
      </c>
      <c r="G988" t="s">
        <v>1354</v>
      </c>
      <c r="H988" t="s">
        <v>1036</v>
      </c>
      <c r="I988" t="s">
        <v>2026</v>
      </c>
      <c r="J988" t="s">
        <v>1325</v>
      </c>
      <c r="K988" s="3">
        <v>1</v>
      </c>
      <c r="L988" s="4">
        <v>24.9</v>
      </c>
      <c r="O988" t="s">
        <v>2</v>
      </c>
      <c r="P988" t="s">
        <v>1008</v>
      </c>
      <c r="Q988" s="2">
        <v>0</v>
      </c>
      <c r="R988" s="5">
        <v>24.9</v>
      </c>
      <c r="S988" s="5">
        <v>0</v>
      </c>
      <c r="T988" s="2">
        <v>25</v>
      </c>
      <c r="U988" t="s">
        <v>3</v>
      </c>
      <c r="V988" t="s">
        <v>360</v>
      </c>
      <c r="W988" s="5">
        <v>20.92</v>
      </c>
    </row>
    <row r="989" spans="1:23" ht="15" x14ac:dyDescent="0.2">
      <c r="A989" t="s">
        <v>1009</v>
      </c>
      <c r="B989" s="1">
        <f>45930</f>
        <v>45930</v>
      </c>
      <c r="C989" t="s">
        <v>0</v>
      </c>
      <c r="D989">
        <v>108108</v>
      </c>
      <c r="E989" s="2">
        <v>25004935</v>
      </c>
      <c r="F989" s="2">
        <v>1</v>
      </c>
      <c r="G989" t="s">
        <v>1646</v>
      </c>
      <c r="H989" t="s">
        <v>361</v>
      </c>
      <c r="I989" t="s">
        <v>1647</v>
      </c>
      <c r="J989" t="s">
        <v>1325</v>
      </c>
      <c r="K989" s="3">
        <v>1</v>
      </c>
      <c r="L989" s="4">
        <v>-450</v>
      </c>
      <c r="Q989" s="2">
        <v>0</v>
      </c>
      <c r="R989" s="5">
        <v>-450</v>
      </c>
      <c r="S989" s="5">
        <v>0</v>
      </c>
      <c r="T989" s="2">
        <v>-450</v>
      </c>
      <c r="U989" t="s">
        <v>1</v>
      </c>
      <c r="V989" t="s">
        <v>361</v>
      </c>
      <c r="W989" s="5">
        <v>-450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0</cp:revision>
  <dcterms:modified xsi:type="dcterms:W3CDTF">2025-11-14T12:38:48Z</dcterms:modified>
  <dc:language>en-US</dc:language>
</cp:coreProperties>
</file>